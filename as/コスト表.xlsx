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立石 喜遼\Documents\GitHub\Game2025\as\"/>
    </mc:Choice>
  </mc:AlternateContent>
  <xr:revisionPtr revIDLastSave="0" documentId="13_ncr:1_{7A612185-77B9-4F73-A11C-21F79F4E8459}" xr6:coauthVersionLast="47" xr6:coauthVersionMax="47" xr10:uidLastSave="{00000000-0000-0000-0000-000000000000}"/>
  <bookViews>
    <workbookView xWindow="-120" yWindow="-120" windowWidth="29040" windowHeight="15720" activeTab="1" xr2:uid="{A3C85D7E-55A7-4ED3-8EC8-9A17E23A1654}"/>
  </bookViews>
  <sheets>
    <sheet name="コスト表" sheetId="3" r:id="rId1"/>
    <sheet name="作業状況" sheetId="4" r:id="rId2"/>
  </sheets>
  <definedNames>
    <definedName name="_xlnm._FilterDatabase" localSheetId="0" hidden="1">コスト表!$B$2:$I$85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4" l="1"/>
  <c r="C13" i="4"/>
  <c r="D9" i="4"/>
  <c r="C10" i="4"/>
  <c r="C11" i="4"/>
  <c r="C12" i="4"/>
  <c r="C5" i="4"/>
  <c r="D13" i="4"/>
  <c r="D12" i="4"/>
  <c r="D11" i="4"/>
  <c r="D10" i="4"/>
  <c r="M8" i="4"/>
  <c r="M7" i="4"/>
  <c r="M6" i="4"/>
  <c r="M5" i="4"/>
  <c r="M4" i="4"/>
  <c r="L8" i="4"/>
  <c r="L7" i="4"/>
  <c r="L6" i="4"/>
  <c r="L5" i="4"/>
  <c r="L4" i="4"/>
  <c r="K8" i="4"/>
  <c r="K7" i="4"/>
  <c r="K6" i="4"/>
  <c r="K5" i="4"/>
  <c r="K4" i="4"/>
  <c r="J8" i="4"/>
  <c r="J7" i="4"/>
  <c r="J6" i="4"/>
  <c r="J5" i="4"/>
  <c r="J4" i="4"/>
  <c r="N8" i="4"/>
  <c r="N7" i="4"/>
  <c r="N6" i="4"/>
  <c r="N5" i="4"/>
  <c r="N4" i="4"/>
  <c r="I5" i="4"/>
  <c r="I4" i="4"/>
  <c r="I8" i="4"/>
  <c r="I7" i="4"/>
  <c r="I6" i="4"/>
  <c r="C19" i="4"/>
  <c r="C18" i="4"/>
  <c r="C17" i="4"/>
  <c r="C16" i="4"/>
  <c r="C3" i="4"/>
  <c r="C2" i="4"/>
  <c r="C6" i="4"/>
  <c r="E10" i="4" l="1"/>
  <c r="E9" i="4"/>
  <c r="E11" i="4"/>
  <c r="E12" i="4"/>
  <c r="E13" i="4"/>
  <c r="C4" i="4"/>
  <c r="D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97855-FAB5-439D-BA7F-6A73DB9337D7}" keepAlive="1" name="クエリ - テーブル1" description="ブック内の 'テーブル1' クエリへの接続です。" type="5" refreshedVersion="8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<sst xmlns="http://schemas.openxmlformats.org/spreadsheetml/2006/main" count="440" uniqueCount="94">
  <si>
    <t>概要</t>
    <rPh sb="0" eb="2">
      <t>ガイヨウ</t>
    </rPh>
    <phoneticPr fontId="4"/>
  </si>
  <si>
    <t>クラス設計</t>
    <rPh sb="3" eb="5">
      <t>セッケイ</t>
    </rPh>
    <phoneticPr fontId="4"/>
  </si>
  <si>
    <t>ライブラリ設計</t>
    <rPh sb="5" eb="7">
      <t>セッケイ</t>
    </rPh>
    <phoneticPr fontId="4"/>
  </si>
  <si>
    <t>アルファ素材集め</t>
    <rPh sb="4" eb="6">
      <t>ソザイ</t>
    </rPh>
    <rPh sb="6" eb="7">
      <t>アツ</t>
    </rPh>
    <phoneticPr fontId="4"/>
  </si>
  <si>
    <t>当たり判定</t>
    <rPh sb="0" eb="1">
      <t>ア</t>
    </rPh>
    <rPh sb="3" eb="5">
      <t>ハンテイ</t>
    </rPh>
    <phoneticPr fontId="4"/>
  </si>
  <si>
    <t>アニメーション処理</t>
    <rPh sb="7" eb="9">
      <t>ショリ</t>
    </rPh>
    <phoneticPr fontId="4"/>
  </si>
  <si>
    <t>カメラ</t>
  </si>
  <si>
    <t>マップ</t>
  </si>
  <si>
    <t>音処理</t>
    <rPh sb="0" eb="3">
      <t>オトショリ</t>
    </rPh>
    <phoneticPr fontId="4"/>
  </si>
  <si>
    <t>UI</t>
  </si>
  <si>
    <t>エフェクト</t>
  </si>
  <si>
    <t>ビルドテスト</t>
  </si>
  <si>
    <t>詳細</t>
    <rPh sb="0" eb="2">
      <t>ショウサイ</t>
    </rPh>
    <phoneticPr fontId="4"/>
  </si>
  <si>
    <t>優先度</t>
    <rPh sb="0" eb="3">
      <t>ユウセンド</t>
    </rPh>
    <phoneticPr fontId="4"/>
  </si>
  <si>
    <t>バージョン</t>
    <phoneticPr fontId="4"/>
  </si>
  <si>
    <t>作業工数</t>
    <rPh sb="0" eb="4">
      <t>サギョウコウスウ</t>
    </rPh>
    <phoneticPr fontId="4"/>
  </si>
  <si>
    <t>実コスト</t>
    <rPh sb="0" eb="1">
      <t>ジツ</t>
    </rPh>
    <phoneticPr fontId="4"/>
  </si>
  <si>
    <t>　判定　</t>
    <rPh sb="1" eb="3">
      <t>ハンテイ</t>
    </rPh>
    <phoneticPr fontId="4"/>
  </si>
  <si>
    <t>未着手</t>
  </si>
  <si>
    <t>C</t>
  </si>
  <si>
    <t>マスター</t>
  </si>
  <si>
    <t>S</t>
  </si>
  <si>
    <t>総コスト</t>
    <rPh sb="0" eb="1">
      <t>ソウ</t>
    </rPh>
    <phoneticPr fontId="4"/>
  </si>
  <si>
    <t>消化コスト</t>
    <rPh sb="0" eb="2">
      <t>ショウカ</t>
    </rPh>
    <phoneticPr fontId="4"/>
  </si>
  <si>
    <t>消費コスト / 日数</t>
    <rPh sb="0" eb="2">
      <t>ショウヒ</t>
    </rPh>
    <rPh sb="8" eb="10">
      <t>ニッスウ</t>
    </rPh>
    <phoneticPr fontId="4"/>
  </si>
  <si>
    <t>未完</t>
    <rPh sb="0" eb="2">
      <t>ミカン</t>
    </rPh>
    <phoneticPr fontId="4"/>
  </si>
  <si>
    <t>作業中</t>
    <phoneticPr fontId="4"/>
  </si>
  <si>
    <t>作業停止中</t>
    <phoneticPr fontId="4"/>
  </si>
  <si>
    <t>バグ発生中</t>
    <phoneticPr fontId="4"/>
  </si>
  <si>
    <t>機能削除</t>
    <phoneticPr fontId="4"/>
  </si>
  <si>
    <t>完了</t>
    <phoneticPr fontId="4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</si>
  <si>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4"/>
  </si>
  <si>
    <t>全て</t>
    <rPh sb="0" eb="1">
      <t>スベ</t>
    </rPh>
    <phoneticPr fontId="4"/>
  </si>
  <si>
    <t>開始日</t>
    <rPh sb="0" eb="3">
      <t>カイシビ</t>
    </rPh>
    <phoneticPr fontId="4"/>
  </si>
  <si>
    <t>プロト</t>
    <phoneticPr fontId="4"/>
  </si>
  <si>
    <t>今日の日付</t>
    <rPh sb="0" eb="2">
      <t>キョウ</t>
    </rPh>
    <rPh sb="3" eb="5">
      <t>ヒヅケ</t>
    </rPh>
    <phoneticPr fontId="4"/>
  </si>
  <si>
    <t>α</t>
    <phoneticPr fontId="4"/>
  </si>
  <si>
    <t>β</t>
    <phoneticPr fontId="4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</si>
  <si>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4"/>
  </si>
  <si>
    <t>一日の消費コスト</t>
    <rPh sb="0" eb="2">
      <t>イチニチ</t>
    </rPh>
    <rPh sb="3" eb="5">
      <t>ショウヒ</t>
    </rPh>
    <phoneticPr fontId="4"/>
  </si>
  <si>
    <t>マスター</t>
    <phoneticPr fontId="4"/>
  </si>
  <si>
    <t>S</t>
    <phoneticPr fontId="4"/>
  </si>
  <si>
    <t>A</t>
    <phoneticPr fontId="4"/>
  </si>
  <si>
    <t>B</t>
    <phoneticPr fontId="4"/>
  </si>
  <si>
    <t>C</t>
    <phoneticPr fontId="4"/>
  </si>
  <si>
    <t>カプセルの当たり判定</t>
    <rPh sb="5" eb="6">
      <t>ア</t>
    </rPh>
    <rPh sb="8" eb="10">
      <t>ハンテイ</t>
    </rPh>
    <phoneticPr fontId="2"/>
  </si>
  <si>
    <t>球の当たり判定</t>
    <rPh sb="0" eb="1">
      <t>キュウ</t>
    </rPh>
    <rPh sb="2" eb="3">
      <t>ア</t>
    </rPh>
    <rPh sb="5" eb="7">
      <t>ハンテイ</t>
    </rPh>
    <phoneticPr fontId="2"/>
  </si>
  <si>
    <t>プロト</t>
  </si>
  <si>
    <t>攻撃</t>
    <rPh sb="0" eb="2">
      <t>コウゲキ</t>
    </rPh>
    <phoneticPr fontId="2"/>
  </si>
  <si>
    <t>スキル1</t>
    <phoneticPr fontId="2"/>
  </si>
  <si>
    <t>スキル2</t>
  </si>
  <si>
    <t>スキル3</t>
  </si>
  <si>
    <t>スキル4</t>
  </si>
  <si>
    <t>スキル5</t>
  </si>
  <si>
    <t>スキル6</t>
  </si>
  <si>
    <t>バック</t>
    <phoneticPr fontId="2"/>
  </si>
  <si>
    <t>ダッシュ</t>
    <phoneticPr fontId="2"/>
  </si>
  <si>
    <t>A</t>
  </si>
  <si>
    <t>α</t>
  </si>
  <si>
    <t>プレイヤーの3Dモデル</t>
    <phoneticPr fontId="2"/>
  </si>
  <si>
    <t>敵の3Dモデル</t>
    <phoneticPr fontId="2"/>
  </si>
  <si>
    <t>プレイヤーの3Dアニメーション</t>
    <phoneticPr fontId="2"/>
  </si>
  <si>
    <t>敵の3Dアニメーション</t>
    <rPh sb="0" eb="1">
      <t>テキ</t>
    </rPh>
    <phoneticPr fontId="2"/>
  </si>
  <si>
    <t>UI</t>
    <phoneticPr fontId="2"/>
  </si>
  <si>
    <t>SE</t>
    <phoneticPr fontId="2"/>
  </si>
  <si>
    <t>BGM</t>
    <phoneticPr fontId="2"/>
  </si>
  <si>
    <t>その他</t>
    <rPh sb="2" eb="3">
      <t>タ</t>
    </rPh>
    <phoneticPr fontId="2"/>
  </si>
  <si>
    <t>移動</t>
    <rPh sb="0" eb="2">
      <t>イドウ</t>
    </rPh>
    <phoneticPr fontId="2"/>
  </si>
  <si>
    <t>カメラの視野角</t>
    <rPh sb="4" eb="7">
      <t>シヤカク</t>
    </rPh>
    <phoneticPr fontId="2"/>
  </si>
  <si>
    <t>カメラの追従</t>
    <rPh sb="4" eb="6">
      <t>ツイジュウ</t>
    </rPh>
    <phoneticPr fontId="2"/>
  </si>
  <si>
    <t>カメラの移動</t>
    <rPh sb="4" eb="6">
      <t>イドウ</t>
    </rPh>
    <phoneticPr fontId="2"/>
  </si>
  <si>
    <t>カメラの当たり判定</t>
    <rPh sb="4" eb="5">
      <t>ア</t>
    </rPh>
    <rPh sb="7" eb="9">
      <t>ハンテイ</t>
    </rPh>
    <phoneticPr fontId="2"/>
  </si>
  <si>
    <t>修正(バグ取り)</t>
    <rPh sb="0" eb="2">
      <t>シュウセイ</t>
    </rPh>
    <rPh sb="5" eb="6">
      <t>トリ</t>
    </rPh>
    <phoneticPr fontId="2"/>
  </si>
  <si>
    <t>HP</t>
  </si>
  <si>
    <t>HP</t>
    <phoneticPr fontId="2"/>
  </si>
  <si>
    <t>ロックオン</t>
    <phoneticPr fontId="2"/>
  </si>
  <si>
    <t>移動</t>
    <rPh sb="0" eb="2">
      <t>イドウ</t>
    </rPh>
    <phoneticPr fontId="2"/>
  </si>
  <si>
    <t>被弾</t>
    <rPh sb="0" eb="2">
      <t>ヒダン</t>
    </rPh>
    <phoneticPr fontId="2"/>
  </si>
  <si>
    <t>死亡</t>
    <rPh sb="0" eb="2">
      <t>シボウ</t>
    </rPh>
    <phoneticPr fontId="2"/>
  </si>
  <si>
    <t>索敵</t>
    <rPh sb="0" eb="2">
      <t>サクテキ</t>
    </rPh>
    <phoneticPr fontId="2"/>
  </si>
  <si>
    <t>内容</t>
    <rPh sb="0" eb="2">
      <t>ナイヨウ</t>
    </rPh>
    <phoneticPr fontId="2"/>
  </si>
  <si>
    <t>プレイヤー共通</t>
    <rPh sb="5" eb="7">
      <t>キョウツウ</t>
    </rPh>
    <phoneticPr fontId="2"/>
  </si>
  <si>
    <t>プレイヤー</t>
    <phoneticPr fontId="2"/>
  </si>
  <si>
    <t>敵</t>
    <rPh sb="0" eb="1">
      <t>テキ</t>
    </rPh>
    <phoneticPr fontId="2"/>
  </si>
  <si>
    <t>SE</t>
  </si>
  <si>
    <t>BGM</t>
    <phoneticPr fontId="2"/>
  </si>
  <si>
    <t>その他</t>
    <phoneticPr fontId="2"/>
  </si>
  <si>
    <t>当たり判定</t>
    <rPh sb="0" eb="1">
      <t>ア</t>
    </rPh>
    <rPh sb="3" eb="5">
      <t>ハンテイ</t>
    </rPh>
    <phoneticPr fontId="2"/>
  </si>
  <si>
    <t>ポリゴンの当たり判定</t>
    <rPh sb="5" eb="6">
      <t>ア</t>
    </rPh>
    <rPh sb="8" eb="10">
      <t>ハンテイ</t>
    </rPh>
    <phoneticPr fontId="2"/>
  </si>
  <si>
    <t>矩形の当たり判定</t>
    <rPh sb="0" eb="2">
      <t>クケイ</t>
    </rPh>
    <rPh sb="3" eb="4">
      <t>ア</t>
    </rPh>
    <rPh sb="6" eb="8">
      <t>ハンテイ</t>
    </rPh>
    <phoneticPr fontId="2"/>
  </si>
  <si>
    <t>Boss</t>
    <phoneticPr fontId="4"/>
  </si>
  <si>
    <t>Boss共通</t>
    <rPh sb="4" eb="6">
      <t>キョウツウ</t>
    </rPh>
    <phoneticPr fontId="2"/>
  </si>
  <si>
    <t>近接攻撃</t>
    <rPh sb="0" eb="4">
      <t>キンセツコウゲキ</t>
    </rPh>
    <phoneticPr fontId="2"/>
  </si>
  <si>
    <t>遠隔攻撃</t>
    <rPh sb="0" eb="4">
      <t>エンカクコウゲキ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</si>
</sst>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FF0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580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46B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FA6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7F9B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1EF8B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3" borderId="1" xfId="0" applyFill="1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0" fillId="5" borderId="1" xfId="0" applyFill="1" applyBorder="1" applyAlignment="1"/>
    <xf numFmtId="0" fontId="0" fillId="0" borderId="3" xfId="0" applyBorder="1" applyAlignment="1"/>
    <xf numFmtId="0" fontId="0" fillId="15" borderId="3" xfId="0" applyFill="1" applyBorder="1" applyAlignment="1"/>
    <xf numFmtId="0" fontId="0" fillId="17" borderId="3" xfId="0" applyFill="1" applyBorder="1" applyAlignment="1"/>
    <xf numFmtId="0" fontId="6" fillId="18" borderId="3" xfId="0" applyFont="1" applyFill="1" applyBorder="1" applyAlignment="1"/>
    <xf numFmtId="0" fontId="7" fillId="19" borderId="3" xfId="0" applyFont="1" applyFill="1" applyBorder="1" applyAlignment="1"/>
    <xf numFmtId="0" fontId="0" fillId="20" borderId="3" xfId="0" applyFill="1" applyBorder="1" applyAlignment="1"/>
    <xf numFmtId="176" fontId="0" fillId="0" borderId="0" xfId="0" applyNumberFormat="1" applyAlignment="1"/>
    <xf numFmtId="177" fontId="0" fillId="0" borderId="0" xfId="0" applyNumberFormat="1" applyAlignment="1"/>
    <xf numFmtId="0" fontId="5" fillId="22" borderId="3" xfId="3" applyFill="1" applyBorder="1" applyAlignment="1"/>
    <xf numFmtId="56" fontId="0" fillId="0" borderId="0" xfId="0" applyNumberFormat="1" applyAlignment="1"/>
    <xf numFmtId="0" fontId="5" fillId="23" borderId="3" xfId="5" applyFill="1" applyBorder="1" applyAlignment="1"/>
    <xf numFmtId="0" fontId="0" fillId="0" borderId="3" xfId="0" quotePrefix="1" applyBorder="1" applyAlignment="1"/>
    <xf numFmtId="0" fontId="5" fillId="25" borderId="3" xfId="7" applyFill="1" applyBorder="1" applyAlignment="1"/>
    <xf numFmtId="0" fontId="5" fillId="20" borderId="3" xfId="8" applyFill="1" applyBorder="1" applyAlignment="1"/>
    <xf numFmtId="0" fontId="5" fillId="17" borderId="3" xfId="10" applyFill="1" applyBorder="1" applyAlignment="1"/>
    <xf numFmtId="9" fontId="1" fillId="10" borderId="3" xfId="6" applyNumberFormat="1" applyBorder="1" applyAlignment="1"/>
    <xf numFmtId="0" fontId="1" fillId="6" borderId="3" xfId="2" applyBorder="1" applyAlignment="1"/>
    <xf numFmtId="0" fontId="1" fillId="8" borderId="3" xfId="4" applyBorder="1" applyAlignment="1"/>
    <xf numFmtId="0" fontId="1" fillId="13" borderId="3" xfId="9" applyBorder="1" applyAlignment="1"/>
    <xf numFmtId="0" fontId="8" fillId="0" borderId="3" xfId="0" applyFont="1" applyBorder="1" applyAlignment="1"/>
    <xf numFmtId="0" fontId="5" fillId="0" borderId="3" xfId="3" applyFill="1" applyBorder="1" applyAlignment="1"/>
    <xf numFmtId="56" fontId="0" fillId="0" borderId="3" xfId="0" applyNumberFormat="1" applyBorder="1" applyAlignment="1"/>
    <xf numFmtId="176" fontId="0" fillId="0" borderId="3" xfId="0" applyNumberFormat="1" applyBorder="1" applyAlignment="1"/>
    <xf numFmtId="177" fontId="0" fillId="0" borderId="3" xfId="0" applyNumberFormat="1" applyBorder="1" applyAlignment="1"/>
    <xf numFmtId="0" fontId="0" fillId="16" borderId="3" xfId="0" applyFill="1" applyBorder="1" applyAlignment="1"/>
    <xf numFmtId="0" fontId="0" fillId="21" borderId="3" xfId="0" applyFill="1" applyBorder="1" applyAlignment="1"/>
    <xf numFmtId="0" fontId="0" fillId="3" borderId="3" xfId="0" applyFill="1" applyBorder="1" applyAlignment="1"/>
    <xf numFmtId="0" fontId="0" fillId="24" borderId="3" xfId="0" applyFill="1" applyBorder="1" applyAlignment="1"/>
    <xf numFmtId="56" fontId="5" fillId="25" borderId="3" xfId="7" applyNumberFormat="1" applyFill="1" applyBorder="1" applyAlignment="1"/>
    <xf numFmtId="56" fontId="5" fillId="20" borderId="3" xfId="8" applyNumberFormat="1" applyFill="1" applyBorder="1" applyAlignment="1"/>
    <xf numFmtId="56" fontId="5" fillId="17" borderId="3" xfId="10" applyNumberFormat="1" applyFill="1" applyBorder="1" applyAlignment="1"/>
    <xf numFmtId="56" fontId="5" fillId="22" borderId="3" xfId="3" applyNumberFormat="1" applyFill="1" applyBorder="1" applyAlignment="1"/>
    <xf numFmtId="176" fontId="5" fillId="22" borderId="3" xfId="3" applyNumberFormat="1" applyFill="1" applyBorder="1" applyAlignment="1"/>
    <xf numFmtId="176" fontId="5" fillId="25" borderId="3" xfId="7" applyNumberFormat="1" applyFill="1" applyBorder="1" applyAlignment="1"/>
    <xf numFmtId="176" fontId="5" fillId="20" borderId="3" xfId="8" applyNumberFormat="1" applyFill="1" applyBorder="1" applyAlignment="1"/>
    <xf numFmtId="176" fontId="5" fillId="17" borderId="3" xfId="10" applyNumberFormat="1" applyFill="1" applyBorder="1" applyAlignment="1"/>
    <xf numFmtId="177" fontId="5" fillId="22" borderId="3" xfId="3" applyNumberFormat="1" applyFill="1" applyBorder="1" applyAlignment="1"/>
    <xf numFmtId="177" fontId="5" fillId="25" borderId="3" xfId="7" applyNumberFormat="1" applyFill="1" applyBorder="1" applyAlignment="1"/>
    <xf numFmtId="177" fontId="5" fillId="20" borderId="3" xfId="8" applyNumberFormat="1" applyFill="1" applyBorder="1" applyAlignment="1"/>
    <xf numFmtId="177" fontId="5" fillId="17" borderId="3" xfId="10" applyNumberFormat="1" applyFill="1" applyBorder="1" applyAlignment="1"/>
    <xf numFmtId="56" fontId="5" fillId="23" borderId="3" xfId="5" applyNumberFormat="1" applyFill="1" applyBorder="1" applyAlignment="1"/>
    <xf numFmtId="176" fontId="5" fillId="23" borderId="3" xfId="5" applyNumberFormat="1" applyFill="1" applyBorder="1" applyAlignment="1"/>
    <xf numFmtId="177" fontId="5" fillId="23" borderId="3" xfId="5" applyNumberFormat="1" applyFill="1" applyBorder="1" applyAlignment="1"/>
    <xf numFmtId="0" fontId="0" fillId="26" borderId="1" xfId="0" applyFill="1" applyBorder="1" applyAlignment="1"/>
    <xf numFmtId="0" fontId="0" fillId="27" borderId="1" xfId="0" applyFill="1" applyBorder="1" applyAlignment="1"/>
  </cellXfs>
  <cellStyles count="11">
    <cellStyle name="20% - アクセント 1" xfId="3" builtinId="30"/>
    <cellStyle name="20% - アクセント 2" xfId="5" builtinId="34"/>
    <cellStyle name="20% - アクセント 4" xfId="7" builtinId="42"/>
    <cellStyle name="20% - アクセント 5" xfId="8" builtinId="46"/>
    <cellStyle name="20% - アクセント 6" xfId="10" builtinId="50"/>
    <cellStyle name="アクセント 1" xfId="2" builtinId="29"/>
    <cellStyle name="アクセント 2" xfId="4" builtinId="33"/>
    <cellStyle name="アクセント 4" xfId="6" builtinId="41"/>
    <cellStyle name="アクセント 5" xfId="1" builtinId="45"/>
    <cellStyle name="アクセント 6" xfId="9" builtinId="49"/>
    <cellStyle name="標準" xfId="0" builtinId="0"/>
  </cellStyles>
  <dxfs count="16">
    <dxf>
      <fill>
        <patternFill>
          <bgColor theme="0" tint="-0.499984740745262"/>
        </patternFill>
      </fill>
    </dxf>
    <dxf>
      <fill>
        <patternFill>
          <bgColor theme="6" tint="-0.24994659260841701"/>
        </patternFill>
      </fill>
    </dxf>
    <dxf>
      <font>
        <color theme="1"/>
      </font>
      <fill>
        <patternFill>
          <bgColor rgb="FF9751CB"/>
        </patternFill>
      </fill>
    </dxf>
    <dxf>
      <fill>
        <patternFill>
          <bgColor rgb="FF0BA8EF"/>
        </patternFill>
      </fill>
    </dxf>
    <dxf>
      <font>
        <color rgb="FFEBF86E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751CB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4FD1FF"/>
        </patternFill>
      </fill>
    </dxf>
    <dxf>
      <font>
        <color theme="1"/>
      </font>
      <fill>
        <patternFill>
          <bgColor rgb="FFA9DA74"/>
        </patternFill>
      </fill>
    </dxf>
    <dxf>
      <fill>
        <patternFill>
          <bgColor rgb="FFFFD757"/>
        </patternFill>
      </fill>
    </dxf>
    <dxf>
      <font>
        <color theme="1"/>
      </font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5B5B"/>
      <color rgb="FFEE8EE7"/>
      <color rgb="FFEA76E2"/>
      <color rgb="FFF3B897"/>
      <color rgb="FFE345D8"/>
      <color rgb="FFFFFFFF"/>
      <color rgb="FFF0A57C"/>
      <color rgb="FFEC8E5A"/>
      <color rgb="FF0BA8EF"/>
      <color rgb="FF558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912549244042564"/>
          <c:y val="0.12600954077820564"/>
          <c:w val="0.59196199129232763"/>
          <c:h val="0.756812297197027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BF-48D1-980C-97BB3D95A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BF-48D1-980C-97BB3D95A3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BF-48D1-980C-97BB3D95A3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BF-48D1-980C-97BB3D95A3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BF-48D1-980C-97BB3D95A3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BBF-48D1-980C-97BB3D95A3D4}"/>
              </c:ext>
            </c:extLst>
          </c:dPt>
          <c:dLbls>
            <c:dLbl>
              <c:idx val="0"/>
              <c:layout>
                <c:manualLayout>
                  <c:x val="0.13443523837916949"/>
                  <c:y val="-0.668288726682887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BF-48D1-980C-97BB3D95A3D4}"/>
                </c:ext>
              </c:extLst>
            </c:dLbl>
            <c:dLbl>
              <c:idx val="1"/>
              <c:layout>
                <c:manualLayout>
                  <c:x val="0.5663910862860092"/>
                  <c:y val="0.412003244120032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BF-48D1-980C-97BB3D95A3D4}"/>
                </c:ext>
              </c:extLst>
            </c:dLbl>
            <c:dLbl>
              <c:idx val="2"/>
              <c:layout>
                <c:manualLayout>
                  <c:x val="-8.5950398307993572E-2"/>
                  <c:y val="0.775344687753446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BF-48D1-980C-97BB3D95A3D4}"/>
                </c:ext>
              </c:extLst>
            </c:dLbl>
            <c:dLbl>
              <c:idx val="3"/>
              <c:layout>
                <c:manualLayout>
                  <c:x val="-0.28870518406018369"/>
                  <c:y val="0.661800486618004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BF-48D1-980C-97BB3D95A3D4}"/>
                </c:ext>
              </c:extLst>
            </c:dLbl>
            <c:dLbl>
              <c:idx val="4"/>
              <c:layout>
                <c:manualLayout>
                  <c:x val="-0.3768594387350489"/>
                  <c:y val="0.324412003244120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BF-48D1-980C-97BB3D95A3D4}"/>
                </c:ext>
              </c:extLst>
            </c:dLbl>
            <c:dLbl>
              <c:idx val="5"/>
              <c:layout>
                <c:manualLayout>
                  <c:x val="-0.41212114060499511"/>
                  <c:y val="4.54176804541767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BF-48D1-980C-97BB3D95A3D4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作業状況!$I$3:$N$3</c:f>
              <c:strCache>
                <c:ptCount val="6"/>
                <c:pt idx="0">
                  <c:v>未完</c:v>
                </c:pt>
                <c:pt idx="1">
                  <c:v>作業中</c:v>
                </c:pt>
                <c:pt idx="2">
                  <c:v>作業停止中</c:v>
                </c:pt>
                <c:pt idx="3">
                  <c:v>バグ発生中</c:v>
                </c:pt>
                <c:pt idx="4">
                  <c:v>機能削除</c:v>
                </c:pt>
                <c:pt idx="5">
                  <c:v>完了</c:v>
                </c:pt>
              </c:strCache>
            </c:strRef>
          </c:cat>
          <c:val>
            <c:numRef>
              <c:f>作業状況!$I$4:$N$4</c:f>
              <c:numCache>
                <c:formatCode>General</c:formatCode>
                <c:ptCount val="6"/>
                <c:pt idx="0">
                  <c:v>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BF-48D1-980C-97BB3D95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9</xdr:row>
      <xdr:rowOff>0</xdr:rowOff>
    </xdr:from>
    <xdr:to>
      <xdr:col>14</xdr:col>
      <xdr:colOff>600076</xdr:colOff>
      <xdr:row>25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D80051-744A-402D-B8BA-261A13510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A2D1-5415-4D51-BA08-A8FA688A3173}">
  <dimension ref="A1:J86"/>
  <sheetViews>
    <sheetView topLeftCell="A31" zoomScale="70" zoomScaleNormal="70" workbookViewId="0">
      <selection activeCell="AC38" sqref="AC38"/>
    </sheetView>
  </sheetViews>
  <sheetFormatPr defaultRowHeight="18.75" x14ac:dyDescent="0.4"/>
  <cols>
    <col min="2" max="2" width="19.25" bestFit="1" customWidth="1"/>
    <col min="3" max="3" width="25.5" customWidth="1"/>
    <col min="4" max="4" width="25.5" bestFit="1" customWidth="1"/>
    <col min="5" max="5" width="7.375" bestFit="1" customWidth="1"/>
    <col min="6" max="6" width="11.25" bestFit="1" customWidth="1"/>
    <col min="7" max="9" width="9.25" bestFit="1" customWidth="1"/>
  </cols>
  <sheetData>
    <row r="1" spans="1:10" x14ac:dyDescent="0.4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4">
      <c r="A2" s="2"/>
      <c r="B2" s="5" t="s">
        <v>0</v>
      </c>
      <c r="C2" s="5" t="s">
        <v>80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5" t="s">
        <v>17</v>
      </c>
      <c r="J2" s="2"/>
    </row>
    <row r="3" spans="1:10" x14ac:dyDescent="0.4">
      <c r="A3" s="2"/>
      <c r="B3" s="1" t="s">
        <v>1</v>
      </c>
      <c r="C3" s="3"/>
      <c r="D3" s="3"/>
      <c r="E3" s="4" t="s">
        <v>21</v>
      </c>
      <c r="F3" s="4" t="s">
        <v>47</v>
      </c>
      <c r="G3" s="4">
        <v>4</v>
      </c>
      <c r="H3" s="4"/>
      <c r="I3" s="4" t="s">
        <v>18</v>
      </c>
      <c r="J3" s="2"/>
    </row>
    <row r="4" spans="1:10" x14ac:dyDescent="0.4">
      <c r="A4" s="2"/>
      <c r="B4" s="1" t="s">
        <v>2</v>
      </c>
      <c r="C4" s="3"/>
      <c r="D4" s="3"/>
      <c r="E4" s="4" t="s">
        <v>21</v>
      </c>
      <c r="F4" s="4" t="s">
        <v>47</v>
      </c>
      <c r="G4" s="4">
        <v>4</v>
      </c>
      <c r="H4" s="4"/>
      <c r="I4" s="4" t="s">
        <v>18</v>
      </c>
      <c r="J4" s="2"/>
    </row>
    <row r="5" spans="1:10" x14ac:dyDescent="0.4">
      <c r="A5" s="2"/>
      <c r="B5" s="1" t="s">
        <v>3</v>
      </c>
      <c r="C5" s="3" t="s">
        <v>82</v>
      </c>
      <c r="D5" s="3" t="s">
        <v>59</v>
      </c>
      <c r="E5" s="4" t="s">
        <v>21</v>
      </c>
      <c r="F5" s="4" t="s">
        <v>47</v>
      </c>
      <c r="G5" s="4">
        <v>2.5</v>
      </c>
      <c r="H5" s="4"/>
      <c r="I5" s="4" t="s">
        <v>18</v>
      </c>
      <c r="J5" s="2"/>
    </row>
    <row r="6" spans="1:10" x14ac:dyDescent="0.4">
      <c r="A6" s="2"/>
      <c r="B6" s="1" t="s">
        <v>3</v>
      </c>
      <c r="C6" s="3" t="s">
        <v>82</v>
      </c>
      <c r="D6" s="3" t="s">
        <v>61</v>
      </c>
      <c r="E6" s="4" t="s">
        <v>21</v>
      </c>
      <c r="F6" s="4" t="s">
        <v>47</v>
      </c>
      <c r="G6" s="4">
        <v>2.5</v>
      </c>
      <c r="H6" s="4"/>
      <c r="I6" s="4" t="s">
        <v>18</v>
      </c>
      <c r="J6" s="2"/>
    </row>
    <row r="7" spans="1:10" x14ac:dyDescent="0.4">
      <c r="A7" s="2"/>
      <c r="B7" s="1" t="s">
        <v>3</v>
      </c>
      <c r="C7" s="3" t="s">
        <v>83</v>
      </c>
      <c r="D7" s="3" t="s">
        <v>60</v>
      </c>
      <c r="E7" s="4" t="s">
        <v>21</v>
      </c>
      <c r="F7" s="4" t="s">
        <v>47</v>
      </c>
      <c r="G7" s="4">
        <v>2.5</v>
      </c>
      <c r="H7" s="4"/>
      <c r="I7" s="4" t="s">
        <v>18</v>
      </c>
      <c r="J7" s="2"/>
    </row>
    <row r="8" spans="1:10" x14ac:dyDescent="0.4">
      <c r="A8" s="2"/>
      <c r="B8" s="1" t="s">
        <v>3</v>
      </c>
      <c r="C8" s="3" t="s">
        <v>83</v>
      </c>
      <c r="D8" s="3" t="s">
        <v>62</v>
      </c>
      <c r="E8" s="4" t="s">
        <v>21</v>
      </c>
      <c r="F8" s="4" t="s">
        <v>47</v>
      </c>
      <c r="G8" s="4">
        <v>2.5</v>
      </c>
      <c r="H8" s="4"/>
      <c r="I8" s="4" t="s">
        <v>18</v>
      </c>
      <c r="J8" s="2"/>
    </row>
    <row r="9" spans="1:10" x14ac:dyDescent="0.4">
      <c r="A9" s="2"/>
      <c r="B9" s="1" t="s">
        <v>3</v>
      </c>
      <c r="C9" s="3" t="s">
        <v>9</v>
      </c>
      <c r="D9" s="3" t="s">
        <v>63</v>
      </c>
      <c r="E9" s="4" t="s">
        <v>57</v>
      </c>
      <c r="F9" s="4" t="s">
        <v>58</v>
      </c>
      <c r="G9" s="4">
        <v>2</v>
      </c>
      <c r="H9" s="4"/>
      <c r="I9" s="4" t="s">
        <v>18</v>
      </c>
      <c r="J9" s="2"/>
    </row>
    <row r="10" spans="1:10" x14ac:dyDescent="0.4">
      <c r="A10" s="2"/>
      <c r="B10" s="1" t="s">
        <v>3</v>
      </c>
      <c r="C10" s="3" t="s">
        <v>84</v>
      </c>
      <c r="D10" s="3" t="s">
        <v>64</v>
      </c>
      <c r="E10" s="4" t="s">
        <v>57</v>
      </c>
      <c r="F10" s="4" t="s">
        <v>58</v>
      </c>
      <c r="G10" s="4">
        <v>2</v>
      </c>
      <c r="H10" s="4"/>
      <c r="I10" s="4" t="s">
        <v>18</v>
      </c>
      <c r="J10" s="2"/>
    </row>
    <row r="11" spans="1:10" x14ac:dyDescent="0.4">
      <c r="A11" s="2"/>
      <c r="B11" s="1" t="s">
        <v>3</v>
      </c>
      <c r="C11" s="3" t="s">
        <v>85</v>
      </c>
      <c r="D11" s="3" t="s">
        <v>65</v>
      </c>
      <c r="E11" s="4" t="s">
        <v>57</v>
      </c>
      <c r="F11" s="4" t="s">
        <v>58</v>
      </c>
      <c r="G11" s="4">
        <v>2</v>
      </c>
      <c r="H11" s="4"/>
      <c r="I11" s="4" t="s">
        <v>18</v>
      </c>
      <c r="J11" s="2"/>
    </row>
    <row r="12" spans="1:10" x14ac:dyDescent="0.4">
      <c r="A12" s="2"/>
      <c r="B12" s="1" t="s">
        <v>3</v>
      </c>
      <c r="C12" s="3" t="s">
        <v>86</v>
      </c>
      <c r="D12" s="3" t="s">
        <v>66</v>
      </c>
      <c r="E12" s="4" t="s">
        <v>57</v>
      </c>
      <c r="F12" s="4" t="s">
        <v>58</v>
      </c>
      <c r="G12" s="4">
        <v>1.5</v>
      </c>
      <c r="H12" s="4"/>
      <c r="I12" s="4" t="s">
        <v>18</v>
      </c>
      <c r="J12" s="2"/>
    </row>
    <row r="13" spans="1:10" x14ac:dyDescent="0.4">
      <c r="A13" s="2"/>
      <c r="B13" s="1" t="s">
        <v>4</v>
      </c>
      <c r="C13" s="3" t="s">
        <v>87</v>
      </c>
      <c r="D13" s="3" t="s">
        <v>45</v>
      </c>
      <c r="E13" s="4" t="s">
        <v>21</v>
      </c>
      <c r="F13" s="4" t="s">
        <v>47</v>
      </c>
      <c r="G13" s="4">
        <v>2</v>
      </c>
      <c r="H13" s="4"/>
      <c r="I13" s="4" t="s">
        <v>18</v>
      </c>
      <c r="J13" s="2"/>
    </row>
    <row r="14" spans="1:10" x14ac:dyDescent="0.4">
      <c r="A14" s="2"/>
      <c r="B14" s="1" t="s">
        <v>4</v>
      </c>
      <c r="C14" s="3" t="s">
        <v>87</v>
      </c>
      <c r="D14" s="3" t="s">
        <v>46</v>
      </c>
      <c r="E14" s="4" t="s">
        <v>21</v>
      </c>
      <c r="F14" s="4" t="s">
        <v>47</v>
      </c>
      <c r="G14" s="4">
        <v>2</v>
      </c>
      <c r="H14" s="4"/>
      <c r="I14" s="4" t="s">
        <v>18</v>
      </c>
      <c r="J14" s="2"/>
    </row>
    <row r="15" spans="1:10" x14ac:dyDescent="0.4">
      <c r="A15" s="2"/>
      <c r="B15" s="1" t="s">
        <v>4</v>
      </c>
      <c r="C15" s="3" t="s">
        <v>87</v>
      </c>
      <c r="D15" s="3" t="s">
        <v>89</v>
      </c>
      <c r="E15" s="4" t="s">
        <v>21</v>
      </c>
      <c r="F15" s="4" t="s">
        <v>47</v>
      </c>
      <c r="G15" s="4">
        <v>2</v>
      </c>
      <c r="H15" s="4"/>
      <c r="I15" s="4" t="s">
        <v>18</v>
      </c>
      <c r="J15" s="2"/>
    </row>
    <row r="16" spans="1:10" x14ac:dyDescent="0.4">
      <c r="A16" s="2"/>
      <c r="B16" s="1" t="s">
        <v>4</v>
      </c>
      <c r="C16" s="3" t="s">
        <v>87</v>
      </c>
      <c r="D16" s="3" t="s">
        <v>88</v>
      </c>
      <c r="E16" s="4" t="s">
        <v>57</v>
      </c>
      <c r="F16" s="4" t="s">
        <v>47</v>
      </c>
      <c r="G16" s="4">
        <v>2</v>
      </c>
      <c r="H16" s="4"/>
      <c r="I16" s="4" t="s">
        <v>18</v>
      </c>
      <c r="J16" s="2"/>
    </row>
    <row r="17" spans="1:10" x14ac:dyDescent="0.4">
      <c r="A17" s="2"/>
      <c r="B17" s="7" t="s">
        <v>82</v>
      </c>
      <c r="C17" s="3" t="s">
        <v>81</v>
      </c>
      <c r="D17" s="3" t="s">
        <v>76</v>
      </c>
      <c r="E17" s="4" t="s">
        <v>21</v>
      </c>
      <c r="F17" s="4" t="s">
        <v>47</v>
      </c>
      <c r="G17" s="4">
        <v>0.5</v>
      </c>
      <c r="H17" s="4">
        <v>1</v>
      </c>
      <c r="I17" s="4" t="s">
        <v>18</v>
      </c>
      <c r="J17" s="2"/>
    </row>
    <row r="18" spans="1:10" x14ac:dyDescent="0.4">
      <c r="A18" s="2"/>
      <c r="B18" s="7" t="s">
        <v>82</v>
      </c>
      <c r="C18" s="3" t="s">
        <v>81</v>
      </c>
      <c r="D18" s="3" t="s">
        <v>77</v>
      </c>
      <c r="E18" s="4" t="s">
        <v>21</v>
      </c>
      <c r="F18" s="4" t="s">
        <v>47</v>
      </c>
      <c r="G18" s="4">
        <v>0.5</v>
      </c>
      <c r="H18" s="4"/>
      <c r="I18" s="4" t="s">
        <v>18</v>
      </c>
      <c r="J18" s="2"/>
    </row>
    <row r="19" spans="1:10" x14ac:dyDescent="0.4">
      <c r="A19" s="2"/>
      <c r="B19" s="7" t="s">
        <v>82</v>
      </c>
      <c r="C19" s="3" t="s">
        <v>81</v>
      </c>
      <c r="D19" s="3" t="s">
        <v>78</v>
      </c>
      <c r="E19" s="4" t="s">
        <v>21</v>
      </c>
      <c r="F19" s="4" t="s">
        <v>47</v>
      </c>
      <c r="G19" s="4">
        <v>1</v>
      </c>
      <c r="H19" s="4"/>
      <c r="I19" s="4" t="s">
        <v>18</v>
      </c>
      <c r="J19" s="2"/>
    </row>
    <row r="20" spans="1:10" x14ac:dyDescent="0.4">
      <c r="A20" s="2"/>
      <c r="B20" s="7" t="s">
        <v>82</v>
      </c>
      <c r="C20" s="3" t="s">
        <v>81</v>
      </c>
      <c r="D20" s="3" t="s">
        <v>48</v>
      </c>
      <c r="E20" s="4" t="s">
        <v>21</v>
      </c>
      <c r="F20" s="4" t="s">
        <v>47</v>
      </c>
      <c r="G20" s="4">
        <v>1.25</v>
      </c>
      <c r="H20" s="4"/>
      <c r="I20" s="4" t="s">
        <v>18</v>
      </c>
      <c r="J20" s="2"/>
    </row>
    <row r="21" spans="1:10" x14ac:dyDescent="0.4">
      <c r="A21" s="2"/>
      <c r="B21" s="7" t="s">
        <v>82</v>
      </c>
      <c r="C21" s="3" t="s">
        <v>81</v>
      </c>
      <c r="D21" s="3" t="s">
        <v>55</v>
      </c>
      <c r="E21" s="4" t="s">
        <v>21</v>
      </c>
      <c r="F21" s="4" t="s">
        <v>47</v>
      </c>
      <c r="G21" s="4">
        <v>1</v>
      </c>
      <c r="H21" s="4"/>
      <c r="I21" s="4" t="s">
        <v>18</v>
      </c>
      <c r="J21" s="2"/>
    </row>
    <row r="22" spans="1:10" x14ac:dyDescent="0.4">
      <c r="A22" s="2"/>
      <c r="B22" s="7" t="s">
        <v>82</v>
      </c>
      <c r="C22" s="3" t="s">
        <v>81</v>
      </c>
      <c r="D22" s="3" t="s">
        <v>56</v>
      </c>
      <c r="E22" s="4" t="s">
        <v>21</v>
      </c>
      <c r="F22" s="4" t="s">
        <v>47</v>
      </c>
      <c r="G22" s="4">
        <v>0.5</v>
      </c>
      <c r="H22" s="4"/>
      <c r="I22" s="4" t="s">
        <v>18</v>
      </c>
      <c r="J22" s="2"/>
    </row>
    <row r="23" spans="1:10" x14ac:dyDescent="0.4">
      <c r="A23" s="2"/>
      <c r="B23" s="7" t="s">
        <v>82</v>
      </c>
      <c r="C23" s="3" t="s">
        <v>81</v>
      </c>
      <c r="D23" s="3" t="s">
        <v>56</v>
      </c>
      <c r="E23" s="4" t="s">
        <v>21</v>
      </c>
      <c r="F23" s="4" t="s">
        <v>47</v>
      </c>
      <c r="G23" s="4">
        <v>0.25</v>
      </c>
      <c r="H23" s="4">
        <v>0.25</v>
      </c>
      <c r="I23" s="4" t="s">
        <v>18</v>
      </c>
      <c r="J23" s="2"/>
    </row>
    <row r="24" spans="1:10" x14ac:dyDescent="0.4">
      <c r="A24" s="2"/>
      <c r="B24" s="7" t="s">
        <v>82</v>
      </c>
      <c r="C24" s="3" t="s">
        <v>81</v>
      </c>
      <c r="D24" s="3" t="s">
        <v>73</v>
      </c>
      <c r="E24" s="4" t="s">
        <v>21</v>
      </c>
      <c r="F24" s="4" t="s">
        <v>47</v>
      </c>
      <c r="G24" s="4">
        <v>0.5</v>
      </c>
      <c r="H24" s="4"/>
      <c r="I24" s="4" t="s">
        <v>18</v>
      </c>
      <c r="J24" s="2"/>
    </row>
    <row r="25" spans="1:10" x14ac:dyDescent="0.4">
      <c r="A25" s="2"/>
      <c r="B25" s="7" t="s">
        <v>82</v>
      </c>
      <c r="C25" s="3" t="s">
        <v>81</v>
      </c>
      <c r="D25" s="3" t="s">
        <v>49</v>
      </c>
      <c r="E25" s="4" t="s">
        <v>21</v>
      </c>
      <c r="F25" s="4" t="s">
        <v>47</v>
      </c>
      <c r="G25" s="4">
        <v>1</v>
      </c>
      <c r="H25" s="4"/>
      <c r="I25" s="4" t="s">
        <v>18</v>
      </c>
      <c r="J25" s="2"/>
    </row>
    <row r="26" spans="1:10" x14ac:dyDescent="0.4">
      <c r="A26" s="2"/>
      <c r="B26" s="7" t="s">
        <v>82</v>
      </c>
      <c r="C26" s="3" t="s">
        <v>81</v>
      </c>
      <c r="D26" s="3" t="s">
        <v>50</v>
      </c>
      <c r="E26" s="4" t="s">
        <v>21</v>
      </c>
      <c r="F26" s="4" t="s">
        <v>47</v>
      </c>
      <c r="G26" s="4">
        <v>1</v>
      </c>
      <c r="H26" s="4"/>
      <c r="I26" s="4" t="s">
        <v>18</v>
      </c>
      <c r="J26" s="2"/>
    </row>
    <row r="27" spans="1:10" x14ac:dyDescent="0.4">
      <c r="A27" s="2"/>
      <c r="B27" s="7" t="s">
        <v>82</v>
      </c>
      <c r="C27" s="3" t="s">
        <v>81</v>
      </c>
      <c r="D27" s="3" t="s">
        <v>51</v>
      </c>
      <c r="E27" s="4" t="s">
        <v>21</v>
      </c>
      <c r="F27" s="4" t="s">
        <v>47</v>
      </c>
      <c r="G27" s="4">
        <v>1</v>
      </c>
      <c r="H27" s="4"/>
      <c r="I27" s="4" t="s">
        <v>18</v>
      </c>
      <c r="J27" s="2"/>
    </row>
    <row r="28" spans="1:10" x14ac:dyDescent="0.4">
      <c r="A28" s="2"/>
      <c r="B28" s="7" t="s">
        <v>82</v>
      </c>
      <c r="C28" s="3" t="s">
        <v>81</v>
      </c>
      <c r="D28" s="3" t="s">
        <v>52</v>
      </c>
      <c r="E28" s="4" t="s">
        <v>21</v>
      </c>
      <c r="F28" s="4" t="s">
        <v>47</v>
      </c>
      <c r="G28" s="4">
        <v>1</v>
      </c>
      <c r="H28" s="4"/>
      <c r="I28" s="4" t="s">
        <v>18</v>
      </c>
      <c r="J28" s="2"/>
    </row>
    <row r="29" spans="1:10" x14ac:dyDescent="0.4">
      <c r="A29" s="2"/>
      <c r="B29" s="7" t="s">
        <v>82</v>
      </c>
      <c r="C29" s="3" t="s">
        <v>81</v>
      </c>
      <c r="D29" s="3" t="s">
        <v>53</v>
      </c>
      <c r="E29" s="4" t="s">
        <v>21</v>
      </c>
      <c r="F29" s="4" t="s">
        <v>47</v>
      </c>
      <c r="G29" s="4">
        <v>1</v>
      </c>
      <c r="H29" s="4"/>
      <c r="I29" s="4" t="s">
        <v>18</v>
      </c>
      <c r="J29" s="2"/>
    </row>
    <row r="30" spans="1:10" x14ac:dyDescent="0.4">
      <c r="A30" s="2"/>
      <c r="B30" s="7" t="s">
        <v>82</v>
      </c>
      <c r="C30" s="3" t="s">
        <v>81</v>
      </c>
      <c r="D30" s="3" t="s">
        <v>54</v>
      </c>
      <c r="E30" s="4" t="s">
        <v>21</v>
      </c>
      <c r="F30" s="4" t="s">
        <v>47</v>
      </c>
      <c r="G30" s="4">
        <v>1</v>
      </c>
      <c r="H30" s="4"/>
      <c r="I30" s="4" t="s">
        <v>18</v>
      </c>
      <c r="J30" s="2"/>
    </row>
    <row r="31" spans="1:10" x14ac:dyDescent="0.4">
      <c r="A31" s="2"/>
      <c r="B31" s="7" t="s">
        <v>82</v>
      </c>
      <c r="C31" s="3"/>
      <c r="D31" s="3"/>
      <c r="E31" s="4" t="s">
        <v>19</v>
      </c>
      <c r="F31" s="4" t="s">
        <v>20</v>
      </c>
      <c r="G31" s="4">
        <v>0</v>
      </c>
      <c r="H31" s="4"/>
      <c r="I31" s="4" t="s">
        <v>18</v>
      </c>
      <c r="J31" s="2"/>
    </row>
    <row r="32" spans="1:10" x14ac:dyDescent="0.4">
      <c r="A32" s="2"/>
      <c r="B32" s="7" t="s">
        <v>82</v>
      </c>
      <c r="C32" s="3"/>
      <c r="D32" s="3"/>
      <c r="E32" s="4" t="s">
        <v>19</v>
      </c>
      <c r="F32" s="4" t="s">
        <v>20</v>
      </c>
      <c r="G32" s="4">
        <v>0</v>
      </c>
      <c r="H32" s="4"/>
      <c r="I32" s="4" t="s">
        <v>18</v>
      </c>
      <c r="J32" s="2"/>
    </row>
    <row r="33" spans="1:10" x14ac:dyDescent="0.4">
      <c r="A33" s="2"/>
      <c r="B33" s="7" t="s">
        <v>82</v>
      </c>
      <c r="C33" s="3"/>
      <c r="D33" s="3"/>
      <c r="E33" s="4" t="s">
        <v>19</v>
      </c>
      <c r="F33" s="4" t="s">
        <v>20</v>
      </c>
      <c r="G33" s="4">
        <v>0</v>
      </c>
      <c r="H33" s="4"/>
      <c r="I33" s="4" t="s">
        <v>18</v>
      </c>
      <c r="J33" s="2"/>
    </row>
    <row r="34" spans="1:10" x14ac:dyDescent="0.4">
      <c r="A34" s="2"/>
      <c r="B34" s="7" t="s">
        <v>82</v>
      </c>
      <c r="C34" s="3"/>
      <c r="D34" s="3"/>
      <c r="E34" s="4" t="s">
        <v>19</v>
      </c>
      <c r="F34" s="4" t="s">
        <v>20</v>
      </c>
      <c r="G34" s="4">
        <v>0</v>
      </c>
      <c r="H34" s="4"/>
      <c r="I34" s="4" t="s">
        <v>18</v>
      </c>
      <c r="J34" s="2"/>
    </row>
    <row r="35" spans="1:10" x14ac:dyDescent="0.4">
      <c r="A35" s="2"/>
      <c r="B35" s="7" t="s">
        <v>82</v>
      </c>
      <c r="C35" s="3"/>
      <c r="D35" s="3"/>
      <c r="E35" s="4" t="s">
        <v>19</v>
      </c>
      <c r="F35" s="4" t="s">
        <v>20</v>
      </c>
      <c r="G35" s="4">
        <v>0</v>
      </c>
      <c r="H35" s="4"/>
      <c r="I35" s="4" t="s">
        <v>18</v>
      </c>
      <c r="J35" s="2"/>
    </row>
    <row r="36" spans="1:10" x14ac:dyDescent="0.4">
      <c r="A36" s="2"/>
      <c r="B36" s="51" t="s">
        <v>90</v>
      </c>
      <c r="C36" s="3" t="s">
        <v>91</v>
      </c>
      <c r="D36" s="3" t="s">
        <v>67</v>
      </c>
      <c r="E36" s="4" t="s">
        <v>21</v>
      </c>
      <c r="F36" s="4" t="s">
        <v>47</v>
      </c>
      <c r="G36" s="4">
        <v>0</v>
      </c>
      <c r="H36" s="4"/>
      <c r="I36" s="4" t="s">
        <v>18</v>
      </c>
      <c r="J36" s="2"/>
    </row>
    <row r="37" spans="1:10" x14ac:dyDescent="0.4">
      <c r="A37" s="2"/>
      <c r="B37" s="51" t="s">
        <v>90</v>
      </c>
      <c r="C37" s="3" t="s">
        <v>91</v>
      </c>
      <c r="D37" s="3" t="s">
        <v>77</v>
      </c>
      <c r="E37" s="4" t="s">
        <v>21</v>
      </c>
      <c r="F37" s="4" t="s">
        <v>47</v>
      </c>
      <c r="G37" s="4">
        <v>0</v>
      </c>
      <c r="H37" s="4"/>
      <c r="I37" s="4" t="s">
        <v>18</v>
      </c>
      <c r="J37" s="2"/>
    </row>
    <row r="38" spans="1:10" x14ac:dyDescent="0.4">
      <c r="A38" s="2"/>
      <c r="B38" s="51" t="s">
        <v>90</v>
      </c>
      <c r="C38" s="3" t="s">
        <v>91</v>
      </c>
      <c r="D38" s="3" t="s">
        <v>78</v>
      </c>
      <c r="E38" s="4" t="s">
        <v>21</v>
      </c>
      <c r="F38" s="4" t="s">
        <v>47</v>
      </c>
      <c r="G38" s="4">
        <v>0</v>
      </c>
      <c r="H38" s="4"/>
      <c r="I38" s="4" t="s">
        <v>18</v>
      </c>
      <c r="J38" s="2"/>
    </row>
    <row r="39" spans="1:10" x14ac:dyDescent="0.4">
      <c r="A39" s="2"/>
      <c r="B39" s="51" t="s">
        <v>90</v>
      </c>
      <c r="C39" s="3" t="s">
        <v>91</v>
      </c>
      <c r="D39" s="3" t="s">
        <v>79</v>
      </c>
      <c r="E39" s="4" t="s">
        <v>21</v>
      </c>
      <c r="F39" s="4" t="s">
        <v>47</v>
      </c>
      <c r="G39" s="4">
        <v>0</v>
      </c>
      <c r="H39" s="4"/>
      <c r="I39" s="4" t="s">
        <v>18</v>
      </c>
      <c r="J39" s="2"/>
    </row>
    <row r="40" spans="1:10" x14ac:dyDescent="0.4">
      <c r="A40" s="2"/>
      <c r="B40" s="51" t="s">
        <v>90</v>
      </c>
      <c r="C40" s="3" t="s">
        <v>91</v>
      </c>
      <c r="D40" s="3" t="s">
        <v>74</v>
      </c>
      <c r="E40" s="4" t="s">
        <v>21</v>
      </c>
      <c r="F40" s="4" t="s">
        <v>47</v>
      </c>
      <c r="G40" s="4">
        <v>0</v>
      </c>
      <c r="H40" s="4"/>
      <c r="I40" s="4" t="s">
        <v>18</v>
      </c>
      <c r="J40" s="2"/>
    </row>
    <row r="41" spans="1:10" x14ac:dyDescent="0.4">
      <c r="A41" s="2"/>
      <c r="B41" s="51" t="s">
        <v>90</v>
      </c>
      <c r="C41" s="3" t="s">
        <v>91</v>
      </c>
      <c r="D41" s="3" t="s">
        <v>92</v>
      </c>
      <c r="E41" s="4" t="s">
        <v>21</v>
      </c>
      <c r="F41" s="4" t="s">
        <v>47</v>
      </c>
      <c r="G41" s="4">
        <v>0</v>
      </c>
      <c r="H41" s="4"/>
      <c r="I41" s="4" t="s">
        <v>18</v>
      </c>
      <c r="J41" s="2"/>
    </row>
    <row r="42" spans="1:10" x14ac:dyDescent="0.4">
      <c r="A42" s="2"/>
      <c r="B42" s="51" t="s">
        <v>90</v>
      </c>
      <c r="C42" s="3" t="s">
        <v>91</v>
      </c>
      <c r="D42" s="3" t="s">
        <v>93</v>
      </c>
      <c r="E42" s="4" t="s">
        <v>21</v>
      </c>
      <c r="F42" s="4" t="s">
        <v>47</v>
      </c>
      <c r="G42" s="4">
        <v>0</v>
      </c>
      <c r="H42" s="4"/>
      <c r="I42" s="4" t="s">
        <v>18</v>
      </c>
      <c r="J42" s="2"/>
    </row>
    <row r="43" spans="1:10" x14ac:dyDescent="0.4">
      <c r="A43" s="2"/>
      <c r="B43" s="51" t="s">
        <v>90</v>
      </c>
      <c r="C43" s="3"/>
      <c r="D43" s="3"/>
      <c r="E43" s="4" t="s">
        <v>19</v>
      </c>
      <c r="F43" s="4" t="s">
        <v>20</v>
      </c>
      <c r="G43" s="4">
        <v>0</v>
      </c>
      <c r="H43" s="4"/>
      <c r="I43" s="4" t="s">
        <v>18</v>
      </c>
      <c r="J43" s="2"/>
    </row>
    <row r="44" spans="1:10" x14ac:dyDescent="0.4">
      <c r="A44" s="2"/>
      <c r="B44" s="51" t="s">
        <v>90</v>
      </c>
      <c r="C44" s="3"/>
      <c r="D44" s="3"/>
      <c r="E44" s="4" t="s">
        <v>19</v>
      </c>
      <c r="F44" s="4" t="s">
        <v>20</v>
      </c>
      <c r="G44" s="4">
        <v>0</v>
      </c>
      <c r="H44" s="4"/>
      <c r="I44" s="4" t="s">
        <v>18</v>
      </c>
      <c r="J44" s="2"/>
    </row>
    <row r="45" spans="1:10" x14ac:dyDescent="0.4">
      <c r="A45" s="2"/>
      <c r="B45" s="51" t="s">
        <v>90</v>
      </c>
      <c r="C45" s="3"/>
      <c r="D45" s="3"/>
      <c r="E45" s="4" t="s">
        <v>19</v>
      </c>
      <c r="F45" s="4" t="s">
        <v>20</v>
      </c>
      <c r="G45" s="4">
        <v>0</v>
      </c>
      <c r="H45" s="4"/>
      <c r="I45" s="4" t="s">
        <v>18</v>
      </c>
      <c r="J45" s="2"/>
    </row>
    <row r="46" spans="1:10" x14ac:dyDescent="0.4">
      <c r="A46" s="2"/>
      <c r="B46" s="51" t="s">
        <v>90</v>
      </c>
      <c r="C46" s="3"/>
      <c r="D46" s="3"/>
      <c r="E46" s="4" t="s">
        <v>19</v>
      </c>
      <c r="F46" s="4" t="s">
        <v>20</v>
      </c>
      <c r="G46" s="4">
        <v>0</v>
      </c>
      <c r="H46" s="4"/>
      <c r="I46" s="4" t="s">
        <v>18</v>
      </c>
      <c r="J46" s="2"/>
    </row>
    <row r="47" spans="1:10" x14ac:dyDescent="0.4">
      <c r="A47" s="2"/>
      <c r="B47" s="51" t="s">
        <v>90</v>
      </c>
      <c r="C47" s="3"/>
      <c r="D47" s="3"/>
      <c r="E47" s="4" t="s">
        <v>19</v>
      </c>
      <c r="F47" s="4" t="s">
        <v>20</v>
      </c>
      <c r="G47" s="4">
        <v>0</v>
      </c>
      <c r="H47" s="4"/>
      <c r="I47" s="4" t="s">
        <v>18</v>
      </c>
      <c r="J47" s="2"/>
    </row>
    <row r="48" spans="1:10" x14ac:dyDescent="0.4">
      <c r="A48" s="2"/>
      <c r="B48" s="51" t="s">
        <v>90</v>
      </c>
      <c r="C48" s="3"/>
      <c r="D48" s="3"/>
      <c r="E48" s="4" t="s">
        <v>19</v>
      </c>
      <c r="F48" s="4" t="s">
        <v>20</v>
      </c>
      <c r="G48" s="4">
        <v>0</v>
      </c>
      <c r="H48" s="4"/>
      <c r="I48" s="4" t="s">
        <v>18</v>
      </c>
      <c r="J48" s="2"/>
    </row>
    <row r="49" spans="1:10" x14ac:dyDescent="0.4">
      <c r="A49" s="2"/>
      <c r="B49" s="51" t="s">
        <v>90</v>
      </c>
      <c r="C49" s="3"/>
      <c r="D49" s="3"/>
      <c r="E49" s="4" t="s">
        <v>19</v>
      </c>
      <c r="F49" s="4" t="s">
        <v>20</v>
      </c>
      <c r="G49" s="4">
        <v>0</v>
      </c>
      <c r="H49" s="4"/>
      <c r="I49" s="4" t="s">
        <v>18</v>
      </c>
      <c r="J49" s="2"/>
    </row>
    <row r="50" spans="1:10" x14ac:dyDescent="0.4">
      <c r="A50" s="2"/>
      <c r="B50" s="51" t="s">
        <v>90</v>
      </c>
      <c r="C50" s="3"/>
      <c r="D50" s="3"/>
      <c r="E50" s="4" t="s">
        <v>19</v>
      </c>
      <c r="F50" s="4" t="s">
        <v>20</v>
      </c>
      <c r="G50" s="4">
        <v>0</v>
      </c>
      <c r="H50" s="4"/>
      <c r="I50" s="4" t="s">
        <v>18</v>
      </c>
      <c r="J50" s="2"/>
    </row>
    <row r="51" spans="1:10" x14ac:dyDescent="0.4">
      <c r="A51" s="2"/>
      <c r="B51" s="51" t="s">
        <v>90</v>
      </c>
      <c r="C51" s="3"/>
      <c r="D51" s="3"/>
      <c r="E51" s="4" t="s">
        <v>19</v>
      </c>
      <c r="F51" s="4" t="s">
        <v>20</v>
      </c>
      <c r="G51" s="4">
        <v>0</v>
      </c>
      <c r="H51" s="4"/>
      <c r="I51" s="4" t="s">
        <v>18</v>
      </c>
      <c r="J51" s="2"/>
    </row>
    <row r="52" spans="1:10" x14ac:dyDescent="0.4">
      <c r="A52" s="2"/>
      <c r="B52" s="51" t="s">
        <v>90</v>
      </c>
      <c r="C52" s="3"/>
      <c r="D52" s="3"/>
      <c r="E52" s="4" t="s">
        <v>19</v>
      </c>
      <c r="F52" s="4" t="s">
        <v>20</v>
      </c>
      <c r="G52" s="4">
        <v>0</v>
      </c>
      <c r="H52" s="4"/>
      <c r="I52" s="4" t="s">
        <v>18</v>
      </c>
      <c r="J52" s="2"/>
    </row>
    <row r="53" spans="1:10" x14ac:dyDescent="0.4">
      <c r="A53" s="2"/>
      <c r="B53" s="51" t="s">
        <v>90</v>
      </c>
      <c r="C53" s="3"/>
      <c r="D53" s="3"/>
      <c r="E53" s="4" t="s">
        <v>19</v>
      </c>
      <c r="F53" s="4" t="s">
        <v>20</v>
      </c>
      <c r="G53" s="4">
        <v>0</v>
      </c>
      <c r="H53" s="4"/>
      <c r="I53" s="4" t="s">
        <v>18</v>
      </c>
      <c r="J53" s="2"/>
    </row>
    <row r="54" spans="1:10" x14ac:dyDescent="0.4">
      <c r="A54" s="2"/>
      <c r="B54" s="1" t="s">
        <v>5</v>
      </c>
      <c r="C54" s="3"/>
      <c r="D54" s="3"/>
      <c r="E54" s="4" t="s">
        <v>19</v>
      </c>
      <c r="F54" s="4" t="s">
        <v>20</v>
      </c>
      <c r="G54" s="4">
        <v>0</v>
      </c>
      <c r="H54" s="4"/>
      <c r="I54" s="4" t="s">
        <v>18</v>
      </c>
      <c r="J54" s="2"/>
    </row>
    <row r="55" spans="1:10" x14ac:dyDescent="0.4">
      <c r="A55" s="2"/>
      <c r="B55" s="1" t="s">
        <v>5</v>
      </c>
      <c r="C55" s="3"/>
      <c r="D55" s="3"/>
      <c r="E55" s="4" t="s">
        <v>19</v>
      </c>
      <c r="F55" s="4" t="s">
        <v>20</v>
      </c>
      <c r="G55" s="4">
        <v>0</v>
      </c>
      <c r="H55" s="4"/>
      <c r="I55" s="4" t="s">
        <v>18</v>
      </c>
      <c r="J55" s="2"/>
    </row>
    <row r="56" spans="1:10" x14ac:dyDescent="0.4">
      <c r="A56" s="2"/>
      <c r="B56" s="52" t="s">
        <v>6</v>
      </c>
      <c r="C56" s="3"/>
      <c r="D56" s="3" t="s">
        <v>68</v>
      </c>
      <c r="E56" s="4" t="s">
        <v>21</v>
      </c>
      <c r="F56" s="4" t="s">
        <v>47</v>
      </c>
      <c r="G56" s="4">
        <v>1.5</v>
      </c>
      <c r="H56" s="4"/>
      <c r="I56" s="4" t="s">
        <v>18</v>
      </c>
      <c r="J56" s="2"/>
    </row>
    <row r="57" spans="1:10" x14ac:dyDescent="0.4">
      <c r="A57" s="2"/>
      <c r="B57" s="52" t="s">
        <v>6</v>
      </c>
      <c r="C57" s="3"/>
      <c r="D57" s="3" t="s">
        <v>69</v>
      </c>
      <c r="E57" s="4" t="s">
        <v>21</v>
      </c>
      <c r="F57" s="4" t="s">
        <v>47</v>
      </c>
      <c r="G57" s="4">
        <v>2</v>
      </c>
      <c r="H57" s="4"/>
      <c r="I57" s="4" t="s">
        <v>18</v>
      </c>
      <c r="J57" s="2"/>
    </row>
    <row r="58" spans="1:10" x14ac:dyDescent="0.4">
      <c r="A58" s="2"/>
      <c r="B58" s="52" t="s">
        <v>6</v>
      </c>
      <c r="C58" s="3"/>
      <c r="D58" s="3" t="s">
        <v>70</v>
      </c>
      <c r="E58" s="4" t="s">
        <v>21</v>
      </c>
      <c r="F58" s="4" t="s">
        <v>47</v>
      </c>
      <c r="G58" s="4">
        <v>1.5</v>
      </c>
      <c r="H58" s="4"/>
      <c r="I58" s="4" t="s">
        <v>18</v>
      </c>
      <c r="J58" s="2"/>
    </row>
    <row r="59" spans="1:10" x14ac:dyDescent="0.4">
      <c r="A59" s="2"/>
      <c r="B59" s="52" t="s">
        <v>6</v>
      </c>
      <c r="C59" s="3"/>
      <c r="D59" s="3" t="s">
        <v>71</v>
      </c>
      <c r="E59" s="4" t="s">
        <v>21</v>
      </c>
      <c r="F59" s="4" t="s">
        <v>47</v>
      </c>
      <c r="G59" s="4">
        <v>1.5</v>
      </c>
      <c r="H59" s="4"/>
      <c r="I59" s="4" t="s">
        <v>18</v>
      </c>
      <c r="J59" s="2"/>
    </row>
    <row r="60" spans="1:10" x14ac:dyDescent="0.4">
      <c r="A60" s="2"/>
      <c r="B60" s="52" t="s">
        <v>6</v>
      </c>
      <c r="C60" s="3"/>
      <c r="D60" s="3" t="s">
        <v>75</v>
      </c>
      <c r="E60" s="4" t="s">
        <v>21</v>
      </c>
      <c r="F60" s="4" t="s">
        <v>47</v>
      </c>
      <c r="G60" s="4">
        <v>1.5</v>
      </c>
      <c r="H60" s="4"/>
      <c r="I60" s="4" t="s">
        <v>18</v>
      </c>
      <c r="J60" s="2"/>
    </row>
    <row r="61" spans="1:10" x14ac:dyDescent="0.4">
      <c r="A61" s="2"/>
      <c r="B61" s="1" t="s">
        <v>7</v>
      </c>
      <c r="C61" s="3"/>
      <c r="D61" s="3"/>
      <c r="E61" s="4" t="s">
        <v>19</v>
      </c>
      <c r="F61" s="4" t="s">
        <v>20</v>
      </c>
      <c r="G61" s="4">
        <v>0</v>
      </c>
      <c r="H61" s="4"/>
      <c r="I61" s="4" t="s">
        <v>18</v>
      </c>
      <c r="J61" s="2"/>
    </row>
    <row r="62" spans="1:10" x14ac:dyDescent="0.4">
      <c r="A62" s="2"/>
      <c r="B62" s="1" t="s">
        <v>7</v>
      </c>
      <c r="C62" s="3"/>
      <c r="D62" s="3"/>
      <c r="E62" s="4" t="s">
        <v>19</v>
      </c>
      <c r="F62" s="4" t="s">
        <v>20</v>
      </c>
      <c r="G62" s="4">
        <v>0</v>
      </c>
      <c r="H62" s="4"/>
      <c r="I62" s="4" t="s">
        <v>18</v>
      </c>
      <c r="J62" s="2"/>
    </row>
    <row r="63" spans="1:10" x14ac:dyDescent="0.4">
      <c r="A63" s="2"/>
      <c r="B63" s="1" t="s">
        <v>7</v>
      </c>
      <c r="C63" s="3"/>
      <c r="D63" s="3"/>
      <c r="E63" s="4" t="s">
        <v>19</v>
      </c>
      <c r="F63" s="4" t="s">
        <v>20</v>
      </c>
      <c r="G63" s="4">
        <v>0</v>
      </c>
      <c r="H63" s="4"/>
      <c r="I63" s="4" t="s">
        <v>18</v>
      </c>
      <c r="J63" s="2"/>
    </row>
    <row r="64" spans="1:10" x14ac:dyDescent="0.4">
      <c r="A64" s="2"/>
      <c r="B64" s="1" t="s">
        <v>7</v>
      </c>
      <c r="C64" s="3"/>
      <c r="D64" s="3"/>
      <c r="E64" s="4" t="s">
        <v>19</v>
      </c>
      <c r="F64" s="4" t="s">
        <v>20</v>
      </c>
      <c r="G64" s="4">
        <v>0</v>
      </c>
      <c r="H64" s="4"/>
      <c r="I64" s="4" t="s">
        <v>18</v>
      </c>
      <c r="J64" s="2"/>
    </row>
    <row r="65" spans="1:10" x14ac:dyDescent="0.4">
      <c r="A65" s="2"/>
      <c r="B65" s="1" t="s">
        <v>7</v>
      </c>
      <c r="C65" s="3"/>
      <c r="D65" s="3"/>
      <c r="E65" s="4" t="s">
        <v>19</v>
      </c>
      <c r="F65" s="4" t="s">
        <v>20</v>
      </c>
      <c r="G65" s="4">
        <v>0</v>
      </c>
      <c r="H65" s="4"/>
      <c r="I65" s="4" t="s">
        <v>18</v>
      </c>
      <c r="J65" s="2"/>
    </row>
    <row r="66" spans="1:10" x14ac:dyDescent="0.4">
      <c r="A66" s="2"/>
      <c r="B66" s="1" t="s">
        <v>7</v>
      </c>
      <c r="C66" s="3"/>
      <c r="D66" s="3"/>
      <c r="E66" s="4" t="s">
        <v>19</v>
      </c>
      <c r="F66" s="4" t="s">
        <v>20</v>
      </c>
      <c r="G66" s="4">
        <v>0</v>
      </c>
      <c r="H66" s="4"/>
      <c r="I66" s="4" t="s">
        <v>18</v>
      </c>
      <c r="J66" s="2"/>
    </row>
    <row r="67" spans="1:10" x14ac:dyDescent="0.4">
      <c r="A67" s="2"/>
      <c r="B67" s="1" t="s">
        <v>7</v>
      </c>
      <c r="C67" s="3"/>
      <c r="D67" s="3"/>
      <c r="E67" s="4" t="s">
        <v>19</v>
      </c>
      <c r="F67" s="4" t="s">
        <v>20</v>
      </c>
      <c r="G67" s="4">
        <v>0</v>
      </c>
      <c r="H67" s="4"/>
      <c r="I67" s="4" t="s">
        <v>18</v>
      </c>
      <c r="J67" s="2"/>
    </row>
    <row r="68" spans="1:10" x14ac:dyDescent="0.4">
      <c r="A68" s="2"/>
      <c r="B68" s="1" t="s">
        <v>7</v>
      </c>
      <c r="C68" s="3"/>
      <c r="D68" s="3"/>
      <c r="E68" s="4" t="s">
        <v>19</v>
      </c>
      <c r="F68" s="4" t="s">
        <v>20</v>
      </c>
      <c r="G68" s="4">
        <v>0</v>
      </c>
      <c r="H68" s="4"/>
      <c r="I68" s="4" t="s">
        <v>18</v>
      </c>
      <c r="J68" s="2"/>
    </row>
    <row r="69" spans="1:10" x14ac:dyDescent="0.4">
      <c r="A69" s="2"/>
      <c r="B69" s="1" t="s">
        <v>7</v>
      </c>
      <c r="C69" s="3"/>
      <c r="D69" s="3"/>
      <c r="E69" s="4" t="s">
        <v>19</v>
      </c>
      <c r="F69" s="4" t="s">
        <v>20</v>
      </c>
      <c r="G69" s="4">
        <v>0</v>
      </c>
      <c r="H69" s="4"/>
      <c r="I69" s="4" t="s">
        <v>18</v>
      </c>
      <c r="J69" s="2"/>
    </row>
    <row r="70" spans="1:10" x14ac:dyDescent="0.4">
      <c r="A70" s="2"/>
      <c r="B70" s="1" t="s">
        <v>8</v>
      </c>
      <c r="C70" s="3"/>
      <c r="D70" s="3"/>
      <c r="E70" s="4" t="s">
        <v>19</v>
      </c>
      <c r="F70" s="4" t="s">
        <v>20</v>
      </c>
      <c r="G70" s="4">
        <v>0</v>
      </c>
      <c r="H70" s="4"/>
      <c r="I70" s="4" t="s">
        <v>18</v>
      </c>
      <c r="J70" s="2"/>
    </row>
    <row r="71" spans="1:10" x14ac:dyDescent="0.4">
      <c r="A71" s="2"/>
      <c r="B71" s="1" t="s">
        <v>8</v>
      </c>
      <c r="C71" s="3"/>
      <c r="D71" s="3"/>
      <c r="E71" s="4" t="s">
        <v>19</v>
      </c>
      <c r="F71" s="4" t="s">
        <v>20</v>
      </c>
      <c r="G71" s="4">
        <v>0</v>
      </c>
      <c r="H71" s="4"/>
      <c r="I71" s="4" t="s">
        <v>18</v>
      </c>
      <c r="J71" s="2"/>
    </row>
    <row r="72" spans="1:10" x14ac:dyDescent="0.4">
      <c r="A72" s="2"/>
      <c r="B72" s="1" t="s">
        <v>8</v>
      </c>
      <c r="C72" s="3"/>
      <c r="D72" s="3"/>
      <c r="E72" s="4" t="s">
        <v>19</v>
      </c>
      <c r="F72" s="4" t="s">
        <v>20</v>
      </c>
      <c r="G72" s="4">
        <v>0</v>
      </c>
      <c r="H72" s="4"/>
      <c r="I72" s="4" t="s">
        <v>18</v>
      </c>
      <c r="J72" s="2"/>
    </row>
    <row r="73" spans="1:10" x14ac:dyDescent="0.4">
      <c r="A73" s="2"/>
      <c r="B73" s="1" t="s">
        <v>8</v>
      </c>
      <c r="C73" s="3"/>
      <c r="D73" s="3"/>
      <c r="E73" s="4" t="s">
        <v>19</v>
      </c>
      <c r="F73" s="4" t="s">
        <v>20</v>
      </c>
      <c r="G73" s="4">
        <v>0</v>
      </c>
      <c r="H73" s="4"/>
      <c r="I73" s="4" t="s">
        <v>18</v>
      </c>
      <c r="J73" s="2"/>
    </row>
    <row r="74" spans="1:10" x14ac:dyDescent="0.4">
      <c r="A74" s="2"/>
      <c r="B74" s="1" t="s">
        <v>9</v>
      </c>
      <c r="C74" s="3"/>
      <c r="D74" s="3"/>
      <c r="E74" s="4" t="s">
        <v>19</v>
      </c>
      <c r="F74" s="4" t="s">
        <v>20</v>
      </c>
      <c r="G74" s="4">
        <v>0</v>
      </c>
      <c r="H74" s="4"/>
      <c r="I74" s="4" t="s">
        <v>18</v>
      </c>
      <c r="J74" s="2"/>
    </row>
    <row r="75" spans="1:10" x14ac:dyDescent="0.4">
      <c r="A75" s="2"/>
      <c r="B75" s="1" t="s">
        <v>9</v>
      </c>
      <c r="C75" s="3"/>
      <c r="D75" s="3"/>
      <c r="E75" s="4" t="s">
        <v>19</v>
      </c>
      <c r="F75" s="4" t="s">
        <v>20</v>
      </c>
      <c r="G75" s="4">
        <v>0</v>
      </c>
      <c r="H75" s="4"/>
      <c r="I75" s="4" t="s">
        <v>18</v>
      </c>
      <c r="J75" s="2"/>
    </row>
    <row r="76" spans="1:10" x14ac:dyDescent="0.4">
      <c r="A76" s="2"/>
      <c r="B76" s="1" t="s">
        <v>9</v>
      </c>
      <c r="C76" s="3"/>
      <c r="D76" s="3"/>
      <c r="E76" s="4" t="s">
        <v>19</v>
      </c>
      <c r="F76" s="4" t="s">
        <v>20</v>
      </c>
      <c r="G76" s="4">
        <v>0</v>
      </c>
      <c r="H76" s="4"/>
      <c r="I76" s="4" t="s">
        <v>18</v>
      </c>
      <c r="J76" s="2"/>
    </row>
    <row r="77" spans="1:10" x14ac:dyDescent="0.4">
      <c r="A77" s="2"/>
      <c r="B77" s="1" t="s">
        <v>9</v>
      </c>
      <c r="C77" s="3"/>
      <c r="D77" s="3"/>
      <c r="E77" s="4" t="s">
        <v>19</v>
      </c>
      <c r="F77" s="4" t="s">
        <v>20</v>
      </c>
      <c r="G77" s="4">
        <v>0</v>
      </c>
      <c r="H77" s="4"/>
      <c r="I77" s="4" t="s">
        <v>18</v>
      </c>
      <c r="J77" s="2"/>
    </row>
    <row r="78" spans="1:10" x14ac:dyDescent="0.4">
      <c r="A78" s="2"/>
      <c r="B78" s="1" t="s">
        <v>9</v>
      </c>
      <c r="C78" s="3"/>
      <c r="D78" s="3"/>
      <c r="E78" s="4" t="s">
        <v>19</v>
      </c>
      <c r="F78" s="4" t="s">
        <v>20</v>
      </c>
      <c r="G78" s="4">
        <v>0</v>
      </c>
      <c r="H78" s="4"/>
      <c r="I78" s="4" t="s">
        <v>18</v>
      </c>
      <c r="J78" s="2"/>
    </row>
    <row r="79" spans="1:10" x14ac:dyDescent="0.4">
      <c r="A79" s="2"/>
      <c r="B79" s="1" t="s">
        <v>9</v>
      </c>
      <c r="C79" s="3"/>
      <c r="D79" s="3"/>
      <c r="E79" s="4" t="s">
        <v>19</v>
      </c>
      <c r="F79" s="4" t="s">
        <v>20</v>
      </c>
      <c r="G79" s="4">
        <v>0</v>
      </c>
      <c r="H79" s="4"/>
      <c r="I79" s="4" t="s">
        <v>18</v>
      </c>
      <c r="J79" s="2"/>
    </row>
    <row r="80" spans="1:10" x14ac:dyDescent="0.4">
      <c r="A80" s="2"/>
      <c r="B80" s="1" t="s">
        <v>9</v>
      </c>
      <c r="C80" s="3"/>
      <c r="D80" s="3"/>
      <c r="E80" s="4" t="s">
        <v>19</v>
      </c>
      <c r="F80" s="4" t="s">
        <v>20</v>
      </c>
      <c r="G80" s="4">
        <v>0</v>
      </c>
      <c r="H80" s="4"/>
      <c r="I80" s="4" t="s">
        <v>18</v>
      </c>
      <c r="J80" s="2"/>
    </row>
    <row r="81" spans="1:10" x14ac:dyDescent="0.4">
      <c r="A81" s="2"/>
      <c r="B81" s="1" t="s">
        <v>10</v>
      </c>
      <c r="C81" s="3"/>
      <c r="D81" s="3"/>
      <c r="E81" s="4" t="s">
        <v>19</v>
      </c>
      <c r="F81" s="4" t="s">
        <v>20</v>
      </c>
      <c r="G81" s="4">
        <v>0</v>
      </c>
      <c r="H81" s="4"/>
      <c r="I81" s="4" t="s">
        <v>18</v>
      </c>
      <c r="J81" s="2"/>
    </row>
    <row r="82" spans="1:10" x14ac:dyDescent="0.4">
      <c r="A82" s="2"/>
      <c r="B82" s="1" t="s">
        <v>10</v>
      </c>
      <c r="C82" s="3"/>
      <c r="D82" s="3"/>
      <c r="E82" s="4" t="s">
        <v>19</v>
      </c>
      <c r="F82" s="4" t="s">
        <v>20</v>
      </c>
      <c r="G82" s="4">
        <v>0</v>
      </c>
      <c r="H82" s="4"/>
      <c r="I82" s="4" t="s">
        <v>18</v>
      </c>
      <c r="J82" s="2"/>
    </row>
    <row r="83" spans="1:10" x14ac:dyDescent="0.4">
      <c r="A83" s="2"/>
      <c r="B83" s="1" t="s">
        <v>10</v>
      </c>
      <c r="C83" s="3"/>
      <c r="D83" s="3"/>
      <c r="E83" s="4" t="s">
        <v>19</v>
      </c>
      <c r="F83" s="4" t="s">
        <v>20</v>
      </c>
      <c r="G83" s="4">
        <v>0</v>
      </c>
      <c r="H83" s="4"/>
      <c r="I83" s="4" t="s">
        <v>18</v>
      </c>
      <c r="J83" s="2"/>
    </row>
    <row r="84" spans="1:10" x14ac:dyDescent="0.4">
      <c r="A84" s="2"/>
      <c r="B84" s="1" t="s">
        <v>10</v>
      </c>
      <c r="C84" s="3"/>
      <c r="D84" s="3"/>
      <c r="E84" s="4" t="s">
        <v>19</v>
      </c>
      <c r="F84" s="4" t="s">
        <v>20</v>
      </c>
      <c r="G84" s="4">
        <v>0</v>
      </c>
      <c r="H84" s="4"/>
      <c r="I84" s="4" t="s">
        <v>18</v>
      </c>
      <c r="J84" s="2"/>
    </row>
    <row r="85" spans="1:10" x14ac:dyDescent="0.4">
      <c r="A85" s="2"/>
      <c r="B85" s="1" t="s">
        <v>11</v>
      </c>
      <c r="C85" s="3"/>
      <c r="D85" s="3" t="s">
        <v>72</v>
      </c>
      <c r="E85" s="4" t="s">
        <v>21</v>
      </c>
      <c r="F85" s="4" t="s">
        <v>20</v>
      </c>
      <c r="G85" s="4">
        <v>2</v>
      </c>
      <c r="H85" s="4"/>
      <c r="I85" s="4" t="s">
        <v>18</v>
      </c>
      <c r="J85" s="2"/>
    </row>
    <row r="86" spans="1:10" x14ac:dyDescent="0.4">
      <c r="A86" s="2"/>
      <c r="B86" s="2"/>
      <c r="C86" s="2"/>
      <c r="D86" s="2"/>
      <c r="E86" s="2"/>
      <c r="F86" s="2"/>
      <c r="G86" s="2"/>
      <c r="H86" s="2"/>
      <c r="I86" s="2"/>
      <c r="J86" s="2"/>
    </row>
  </sheetData>
  <autoFilter ref="B2:I85" xr:uid="{EA26A2D1-5415-4D51-BA08-A8FA688A3173}"/>
  <phoneticPr fontId="2"/>
  <conditionalFormatting sqref="C37:H41 F42:H53 E42:E54 D46:E47 C48:E53 B54:H85 B37:B53 C37:C47 D42:D45 B3:I16 B17:H36 I17:I85">
    <cfRule type="expression" dxfId="7" priority="1">
      <formula>$I3="作業停止中"</formula>
    </cfRule>
    <cfRule type="expression" dxfId="6" priority="2">
      <formula>$I3="機能削除"</formula>
    </cfRule>
    <cfRule type="expression" dxfId="5" priority="3">
      <formula>$I3="作業中"</formula>
    </cfRule>
    <cfRule type="expression" dxfId="4" priority="4">
      <formula>$I3="バグ発生中"</formula>
    </cfRule>
    <cfRule type="expression" dxfId="3" priority="5">
      <formula>$I3="完了"</formula>
    </cfRule>
    <cfRule type="expression" dxfId="2" priority="8">
      <formula>$I3="作業停止中"</formula>
    </cfRule>
    <cfRule type="expression" dxfId="1" priority="9">
      <formula>$I3="中平"</formula>
    </cfRule>
  </conditionalFormatting>
  <conditionalFormatting sqref="E3:E85">
    <cfRule type="expression" dxfId="15" priority="10">
      <formula>$E3="S"</formula>
    </cfRule>
    <cfRule type="expression" dxfId="14" priority="11">
      <formula>$E3="A"</formula>
    </cfRule>
    <cfRule type="expression" dxfId="13" priority="12">
      <formula>$E3="B"</formula>
    </cfRule>
    <cfRule type="expression" dxfId="12" priority="13">
      <formula>$E3="C"</formula>
    </cfRule>
  </conditionalFormatting>
  <conditionalFormatting sqref="I3:I14">
    <cfRule type="expression" dxfId="0" priority="14">
      <formula>$D2=" 完了"</formula>
    </cfRule>
  </conditionalFormatting>
  <conditionalFormatting sqref="I14:I85">
    <cfRule type="expression" dxfId="11" priority="64">
      <formula>$D11=" 完了"</formula>
    </cfRule>
  </conditionalFormatting>
  <conditionalFormatting sqref="I15">
    <cfRule type="expression" dxfId="10" priority="30">
      <formula>$D13=" 完了"</formula>
    </cfRule>
  </conditionalFormatting>
  <dataValidations count="4">
    <dataValidation type="list" allowBlank="1" showInputMessage="1" showErrorMessage="1" sqref="G3:G85" xr:uid="{C9539A71-E4D4-40F2-A11D-7AFF2C80B02D}">
      <formula1>"0,0.25,0.5,0.75,1,1.25,1.5,1.75,2,2.25,2.5,2.75,3,3.25,3.5,3.75,4,4.25,4.5,4.75,5"</formula1>
    </dataValidation>
    <dataValidation type="list" allowBlank="1" showInputMessage="1" showErrorMessage="1" sqref="I3:I85" xr:uid="{10FA913D-EE08-4753-B15B-6660EE5D6060}">
      <formula1>"未着手,作業中,作業停止中,バグ発生中,機能削除,完了"</formula1>
    </dataValidation>
    <dataValidation type="list" allowBlank="1" showInputMessage="1" showErrorMessage="1" sqref="E3:E85" xr:uid="{15873D23-46B3-40A2-AEB6-F78E83DA3218}">
      <formula1>"S,A,B,C"</formula1>
    </dataValidation>
    <dataValidation type="list" allowBlank="1" showInputMessage="1" showErrorMessage="1" sqref="F3:F85" xr:uid="{DECCE2DD-44D0-4408-AA9F-503AF0DB6DB4}">
      <formula1>"プロト,α,β,マスター"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1CEF-8502-4511-8513-ADAD0CAF1FF3}">
  <dimension ref="A1:O27"/>
  <sheetViews>
    <sheetView tabSelected="1" workbookViewId="0">
      <selection activeCell="D21" sqref="D21"/>
    </sheetView>
  </sheetViews>
  <sheetFormatPr defaultRowHeight="18.75" x14ac:dyDescent="0.4"/>
  <cols>
    <col min="2" max="2" width="21" bestFit="1" customWidth="1"/>
    <col min="3" max="3" width="9.25" bestFit="1" customWidth="1"/>
    <col min="4" max="4" width="18.875" bestFit="1" customWidth="1"/>
    <col min="5" max="5" width="17.25" bestFit="1" customWidth="1"/>
    <col min="9" max="9" width="7.375" bestFit="1" customWidth="1"/>
    <col min="10" max="10" width="7.125" bestFit="1" customWidth="1"/>
    <col min="11" max="12" width="11" bestFit="1" customWidth="1"/>
    <col min="14" max="14" width="6.5" bestFit="1" customWidth="1"/>
  </cols>
  <sheetData>
    <row r="1" spans="1:15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s="2"/>
      <c r="B2" s="9" t="s">
        <v>22</v>
      </c>
      <c r="C2" s="8">
        <f>SUM(コスト表!G3:G85)</f>
        <v>55</v>
      </c>
      <c r="D2" s="8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">
      <c r="A3" s="2"/>
      <c r="B3" s="32" t="s">
        <v>23</v>
      </c>
      <c r="C3" s="8">
        <f>SUMIF(コスト表!I3:I85,"完了",コスト表!G3:G85)</f>
        <v>0</v>
      </c>
      <c r="D3" s="8" t="s">
        <v>24</v>
      </c>
      <c r="E3" s="2"/>
      <c r="F3" s="2"/>
      <c r="G3" s="2"/>
      <c r="H3" s="8"/>
      <c r="I3" s="8" t="s">
        <v>25</v>
      </c>
      <c r="J3" s="9" t="s">
        <v>26</v>
      </c>
      <c r="K3" s="10" t="s">
        <v>27</v>
      </c>
      <c r="L3" s="11" t="s">
        <v>28</v>
      </c>
      <c r="M3" s="12" t="s">
        <v>29</v>
      </c>
      <c r="N3" s="13" t="s">
        <v>30</v>
      </c>
      <c r="O3" s="2"/>
    </row>
    <row r="4" spans="1:15" x14ac:dyDescent="0.4">
      <c r="A4" s="2"/>
      <c r="B4" s="33" t="s">
        <v>31</v>
      </c>
      <c r="C4" s="30">
        <f ca="1">NETWORKDAYS(C5,C6)</f>
        <v>262</v>
      </c>
      <c r="D4" s="31">
        <f ca="1" xml:space="preserve"> C3/ C4</f>
        <v>0</v>
      </c>
      <c r="E4" s="2"/>
      <c r="F4" s="2"/>
      <c r="G4" s="2"/>
      <c r="H4" s="16" t="s">
        <v>32</v>
      </c>
      <c r="I4" s="8">
        <f>SUM(コスト表!G3:G85)</f>
        <v>55</v>
      </c>
      <c r="J4" s="8">
        <f>SUMIF(コスト表!I3:I85,"作業中",コスト表!G3:G85)</f>
        <v>0</v>
      </c>
      <c r="K4" s="8">
        <f>SUMIF(コスト表!I3:I85,"作業停止中",コスト表!G3:G85)</f>
        <v>0</v>
      </c>
      <c r="L4" s="8">
        <f>SUMIF(コスト表!I3:I85,"バグ発生中",コスト表!G3:G85)</f>
        <v>0</v>
      </c>
      <c r="M4" s="8">
        <f>SUMIF(コスト表!I3:I85,"機能削除",コスト表!G3:G85)</f>
        <v>0</v>
      </c>
      <c r="N4" s="8">
        <f>SUMIF(コスト表!I3:I85,"完了",コスト表!G3:G85)</f>
        <v>0</v>
      </c>
      <c r="O4" s="2"/>
    </row>
    <row r="5" spans="1:15" x14ac:dyDescent="0.4">
      <c r="A5" s="2"/>
      <c r="B5" s="34" t="s">
        <v>33</v>
      </c>
      <c r="C5" s="29">
        <f>DATE(2024,10,7)</f>
        <v>45572</v>
      </c>
      <c r="D5" s="8"/>
      <c r="E5" s="2"/>
      <c r="F5" s="2"/>
      <c r="G5" s="2"/>
      <c r="H5" s="18" t="s">
        <v>34</v>
      </c>
      <c r="I5" s="27">
        <f>SUMIF(コスト表!F3:F85,"プロト",コスト表!G3:G85)</f>
        <v>45.5</v>
      </c>
      <c r="J5" s="19">
        <f>SUMIFS(コスト表!G3:G85,コスト表!F3:F85,"プロト",コスト表!I3:I85,"作業中")</f>
        <v>0</v>
      </c>
      <c r="K5" s="8">
        <f>SUMIFS(コスト表!G3:G85,コスト表!F3:F85,"プロト",コスト表!I3:I85,"作業停止中")</f>
        <v>0</v>
      </c>
      <c r="L5" s="8">
        <f>SUMIFS(コスト表!G3:G85,コスト表!F3:F85,"プロト",コスト表!I3:I85,"バグ発生中")</f>
        <v>0</v>
      </c>
      <c r="M5" s="8">
        <f>SUMIFS(コスト表!G3:G85,コスト表!F3:F85,"プロト",コスト表!I3:I85,"機能削除")</f>
        <v>0</v>
      </c>
      <c r="N5" s="8">
        <f>SUMIFS(コスト表!G3:G85,コスト表!F3:F85,"プロト",コスト表!I3:I85,"完了")</f>
        <v>0</v>
      </c>
      <c r="O5" s="2"/>
    </row>
    <row r="6" spans="1:15" x14ac:dyDescent="0.4">
      <c r="A6" s="2"/>
      <c r="B6" s="35" t="s">
        <v>35</v>
      </c>
      <c r="C6" s="29">
        <f ca="1">TODAY()</f>
        <v>45937</v>
      </c>
      <c r="D6" s="8"/>
      <c r="E6" s="2"/>
      <c r="F6" s="2"/>
      <c r="G6" s="2"/>
      <c r="H6" s="20" t="s">
        <v>36</v>
      </c>
      <c r="I6" s="8">
        <f>SUMIF(コスト表!F3:F85,"α",コスト表!G3:G85)</f>
        <v>7.5</v>
      </c>
      <c r="J6" s="8">
        <f>SUMIFS(コスト表!G3:G85,コスト表!F3:F85,"α",コスト表!I3:I85,"作業中")</f>
        <v>0</v>
      </c>
      <c r="K6" s="8">
        <f>SUMIFS(コスト表!G3:G85,コスト表!F3:F85,"α",コスト表!I3:I85,"作業停止中")</f>
        <v>0</v>
      </c>
      <c r="L6" s="8">
        <f>SUMIFS(コスト表!G3:G85,コスト表!F3:F85,"α",コスト表!I3:I85,"バグ発生中")</f>
        <v>0</v>
      </c>
      <c r="M6" s="8">
        <f>SUMIFS(コスト表!G3:G85,コスト表!F3:F85,"α",コスト表!I3:I85,"機能削除")</f>
        <v>0</v>
      </c>
      <c r="N6" s="8">
        <f>SUMIFS(コスト表!G3:G85,コスト表!F3:F85,"α",コスト表!I3:I85,"完了")</f>
        <v>0</v>
      </c>
      <c r="O6" s="2"/>
    </row>
    <row r="7" spans="1:15" x14ac:dyDescent="0.4">
      <c r="A7" s="2"/>
      <c r="B7" s="2"/>
      <c r="C7" s="2"/>
      <c r="D7" s="2"/>
      <c r="E7" s="2"/>
      <c r="F7" s="2"/>
      <c r="G7" s="2"/>
      <c r="H7" s="21" t="s">
        <v>37</v>
      </c>
      <c r="I7" s="8">
        <f>SUMIF(コスト表!F3:F85,"β",コスト表!G3:G85)</f>
        <v>0</v>
      </c>
      <c r="J7" s="8">
        <f>SUMIFS(コスト表!G3:G85,コスト表!F3:F85,"β",コスト表!I3:I85,"作業中")</f>
        <v>0</v>
      </c>
      <c r="K7" s="8">
        <f>SUMIFS(コスト表!G3:G85,コスト表!F3:F85,"β",コスト表!I3:I85,"作業停止中")</f>
        <v>0</v>
      </c>
      <c r="L7" s="8">
        <f>SUMIFS(コスト表!G3:G85,コスト表!F3:F85,"β",コスト表!I3:I85,"バグ発生中")</f>
        <v>0</v>
      </c>
      <c r="M7" s="8">
        <f>SUMIFS(コスト表!G3:G85,コスト表!F3:F85,"β",コスト表!I3:I85,"機能削除")</f>
        <v>0</v>
      </c>
      <c r="N7" s="8">
        <f>SUMIFS(コスト表!G3:G85,コスト表!F3:F85,"β",コスト表!I3:I85,"完了")</f>
        <v>0</v>
      </c>
      <c r="O7" s="2"/>
    </row>
    <row r="8" spans="1:15" x14ac:dyDescent="0.4">
      <c r="A8" s="2"/>
      <c r="B8" s="28"/>
      <c r="C8" s="8"/>
      <c r="D8" s="8" t="s">
        <v>38</v>
      </c>
      <c r="E8" s="8" t="s">
        <v>39</v>
      </c>
      <c r="F8" s="2"/>
      <c r="G8" s="2"/>
      <c r="H8" s="22" t="s">
        <v>40</v>
      </c>
      <c r="I8" s="8">
        <f>SUMIF(コスト表!F3:F85,"マスター",コスト表!G3:G85)</f>
        <v>2</v>
      </c>
      <c r="J8" s="8">
        <f>SUMIFS(コスト表!G3:G85,コスト表!F3:F85,"マスター",コスト表!I3:I85,"作業中")</f>
        <v>0</v>
      </c>
      <c r="K8" s="8">
        <f>SUMIFS(コスト表!G3:G85,コスト表!F3:F85,"マスター",コスト表!I3:I85,"作業停止中")</f>
        <v>0</v>
      </c>
      <c r="L8" s="8">
        <f>SUMIFS(コスト表!G3:G85,コスト表!F3:F85,"マスター",コスト表!I3:I85,"バグ発生中")</f>
        <v>0</v>
      </c>
      <c r="M8" s="8">
        <f>SUMIFS(コスト表!G3:G85,コスト表!F3:F85,"マスター",コスト表!I3:I85,"機能削除")</f>
        <v>0</v>
      </c>
      <c r="N8" s="8">
        <f>SUMIFS(コスト表!G3:G85,コスト表!F3:F85,"マスター",コスト表!I3:I85,"完了")</f>
        <v>0</v>
      </c>
      <c r="O8" s="2"/>
    </row>
    <row r="9" spans="1:15" x14ac:dyDescent="0.4">
      <c r="A9" s="2"/>
      <c r="B9" s="16" t="s">
        <v>32</v>
      </c>
      <c r="C9" s="39">
        <f>DATE(2026,1,7)</f>
        <v>46029</v>
      </c>
      <c r="D9" s="40">
        <f ca="1">NETWORKDAYS(TODAY(),C9)</f>
        <v>67</v>
      </c>
      <c r="E9" s="44">
        <f ca="1">($C$2 - $C$3) / D9</f>
        <v>0.82089552238805974</v>
      </c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4">
      <c r="A10" s="2"/>
      <c r="B10" s="18" t="s">
        <v>34</v>
      </c>
      <c r="C10" s="48">
        <f>DATE(2025,11,30)</f>
        <v>45991</v>
      </c>
      <c r="D10" s="49">
        <f ca="1">NETWORKDAYS(TODAY(),C10)</f>
        <v>39</v>
      </c>
      <c r="E10" s="50">
        <f ca="1">($I$5 - $N$5) / D10</f>
        <v>1.1666666666666667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4">
      <c r="A11" s="2"/>
      <c r="B11" s="20" t="s">
        <v>36</v>
      </c>
      <c r="C11" s="36">
        <f>DATE(2025,12,15)</f>
        <v>46006</v>
      </c>
      <c r="D11" s="41">
        <f ca="1">NETWORKDAYS(TODAY(),C11)</f>
        <v>50</v>
      </c>
      <c r="E11" s="45">
        <f ca="1">($I$6 - $N$6) / D11</f>
        <v>0.15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4">
      <c r="A12" s="2"/>
      <c r="B12" s="21" t="s">
        <v>37</v>
      </c>
      <c r="C12" s="37">
        <f>DATE(2025,12,25)</f>
        <v>46016</v>
      </c>
      <c r="D12" s="42">
        <f ca="1">NETWORKDAYS(TODAY(),C12)</f>
        <v>58</v>
      </c>
      <c r="E12" s="46">
        <f ca="1">($I$7 - $N$7) / D12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4">
      <c r="A13" s="2"/>
      <c r="B13" s="22" t="s">
        <v>40</v>
      </c>
      <c r="C13" s="38">
        <f>DATE(2026,1,7)</f>
        <v>46029</v>
      </c>
      <c r="D13" s="43">
        <f ca="1">NETWORKDAYS(TODAY(),C13)</f>
        <v>67</v>
      </c>
      <c r="E13" s="47">
        <f ca="1">($I$8 - $N$8) / D13</f>
        <v>2.9850746268656716E-2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4">
      <c r="A14" s="2"/>
      <c r="B14" s="2"/>
      <c r="C14" s="17"/>
      <c r="D14" s="14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4">
      <c r="A16" s="2"/>
      <c r="B16" s="23" t="s">
        <v>41</v>
      </c>
      <c r="C16" s="8">
        <f>SUMIF(コスト表!E3:E85,"S",コスト表!G3:G85)</f>
        <v>45.5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4">
      <c r="A17" s="2"/>
      <c r="B17" s="24" t="s">
        <v>42</v>
      </c>
      <c r="C17" s="8">
        <f>SUMIF(コスト表!E3:E85,"A",コスト表!G3:G85)</f>
        <v>9.5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4">
      <c r="A18" s="2"/>
      <c r="B18" s="25" t="s">
        <v>43</v>
      </c>
      <c r="C18" s="8">
        <f>SUMIF(コスト表!E3:E85,"B",コスト表!G3:G85)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4">
      <c r="A19" s="2"/>
      <c r="B19" s="26" t="s">
        <v>44</v>
      </c>
      <c r="C19" s="8">
        <f>SUMIF(コスト表!E3:E85,"C",コスト表!G3:G85)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phoneticPr fontId="2"/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DF7DD-FE00-49E7-9D83-1DB9F1495F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コスト表</vt:lpstr>
      <vt:lpstr>作業状況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立石　喜遼</dc:creator>
  <cp:lastModifiedBy>みん くる</cp:lastModifiedBy>
  <dcterms:created xsi:type="dcterms:W3CDTF">2025-06-05T01:53:36Z</dcterms:created>
  <dcterms:modified xsi:type="dcterms:W3CDTF">2025-10-07T00:57:07Z</dcterms:modified>
</cp:coreProperties>
</file>